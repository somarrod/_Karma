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ropbox\PERSONALS\Master\TFM\calendari 2526\"/>
    </mc:Choice>
  </mc:AlternateContent>
  <xr:revisionPtr revIDLastSave="0" documentId="13_ncr:1_{7A017C48-9F57-4DDF-A716-A482CF13B6D6}" xr6:coauthVersionLast="47" xr6:coauthVersionMax="47" xr10:uidLastSave="{00000000-0000-0000-0000-000000000000}"/>
  <bookViews>
    <workbookView xWindow="28680" yWindow="-120" windowWidth="29040" windowHeight="15720" tabRatio="557" xr2:uid="{E435068C-23D2-4534-AF1C-FD8250F4F198}"/>
  </bookViews>
  <sheets>
    <sheet name="Calendari" sheetId="1" r:id="rId1"/>
    <sheet name="mes a mes" sheetId="5" r:id="rId2"/>
    <sheet name="Avaluació" sheetId="6" r:id="rId3"/>
    <sheet name="Resultats d'aprenentatge" sheetId="2" r:id="rId4"/>
    <sheet name="Continguts" sheetId="3" r:id="rId5"/>
    <sheet name="Tutorial Angular 19" sheetId="4" r:id="rId6"/>
  </sheets>
  <definedNames>
    <definedName name="_xlnm._FilterDatabase" localSheetId="3" hidden="1">'Resultats d''aprenentatge'!$A$1:$D$1</definedName>
    <definedName name="_xlnm.Print_Area" localSheetId="1">'mes a mes'!$B$2:$F$13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AC29" i="1"/>
  <c r="F25" i="5"/>
  <c r="J27" i="5"/>
  <c r="B19" i="5"/>
  <c r="C19" i="5" s="1"/>
  <c r="D19" i="5" s="1"/>
  <c r="E19" i="5" s="1"/>
  <c r="F19" i="5" s="1"/>
  <c r="B21" i="5" s="1"/>
  <c r="C21" i="5" s="1"/>
  <c r="D21" i="5" s="1"/>
  <c r="E21" i="5" s="1"/>
  <c r="F21" i="5" s="1"/>
  <c r="B23" i="5" s="1"/>
  <c r="C23" i="5" s="1"/>
  <c r="D23" i="5" s="1"/>
  <c r="E23" i="5" s="1"/>
  <c r="F23" i="5" s="1"/>
  <c r="B25" i="5" s="1"/>
  <c r="C25" i="5" s="1"/>
  <c r="D25" i="5" s="1"/>
  <c r="E25" i="5" s="1"/>
  <c r="L12" i="5"/>
  <c r="C12" i="5"/>
  <c r="B6" i="5"/>
  <c r="AH49" i="1" l="1"/>
  <c r="J18" i="1"/>
  <c r="K18" i="1" s="1"/>
  <c r="L18" i="1" s="1"/>
  <c r="M18" i="1" s="1"/>
  <c r="N18" i="1" s="1"/>
  <c r="O18" i="1" s="1"/>
  <c r="P18" i="1" s="1"/>
  <c r="J19" i="1" s="1"/>
  <c r="K19" i="1" s="1"/>
  <c r="L19" i="1" s="1"/>
  <c r="M19" i="1" s="1"/>
  <c r="N19" i="1" s="1"/>
  <c r="O19" i="1" s="1"/>
  <c r="P19" i="1" s="1"/>
  <c r="J20" i="1" s="1"/>
  <c r="K20" i="1" s="1"/>
  <c r="L20" i="1" s="1"/>
  <c r="M20" i="1" s="1"/>
  <c r="N20" i="1" s="1"/>
  <c r="O20" i="1" s="1"/>
  <c r="P20" i="1" s="1"/>
  <c r="K21" i="1" s="1"/>
  <c r="L21" i="1" s="1"/>
  <c r="M21" i="1" s="1"/>
  <c r="N21" i="1" s="1"/>
  <c r="O21" i="1" s="1"/>
  <c r="P21" i="1" s="1"/>
  <c r="S11" i="1"/>
  <c r="T11" i="1" s="1"/>
  <c r="U11" i="1" s="1"/>
  <c r="V11" i="1" s="1"/>
  <c r="W11" i="1" s="1"/>
  <c r="S12" i="1" s="1"/>
  <c r="T12" i="1" s="1"/>
  <c r="U12" i="1" s="1"/>
  <c r="V12" i="1" s="1"/>
  <c r="W12" i="1" s="1"/>
  <c r="X12" i="1" s="1"/>
  <c r="Z4" i="1"/>
  <c r="AA4" i="1" s="1"/>
  <c r="AB4" i="1" s="1"/>
  <c r="AC4" i="1" s="1"/>
  <c r="AD4" i="1" s="1"/>
  <c r="AE4" i="1" s="1"/>
  <c r="AF4" i="1" s="1"/>
  <c r="Z5" i="1" s="1"/>
  <c r="AA5" i="1" s="1"/>
  <c r="AB5" i="1" s="1"/>
  <c r="AC5" i="1" s="1"/>
  <c r="AD5" i="1" s="1"/>
  <c r="AE5" i="1" s="1"/>
  <c r="AF5" i="1" s="1"/>
  <c r="Z6" i="1" s="1"/>
  <c r="AA6" i="1" s="1"/>
  <c r="AB6" i="1" s="1"/>
  <c r="AC6" i="1" s="1"/>
  <c r="AD6" i="1" s="1"/>
  <c r="AE6" i="1" s="1"/>
  <c r="AF6" i="1" s="1"/>
  <c r="Z7" i="1" s="1"/>
  <c r="AA7" i="1" s="1"/>
  <c r="AB7" i="1" s="1"/>
  <c r="AH19" i="1"/>
  <c r="B4" i="1"/>
  <c r="C4" i="1" s="1"/>
  <c r="D4" i="1" s="1"/>
  <c r="E4" i="1" s="1"/>
  <c r="F4" i="1" s="1"/>
  <c r="G4" i="1" s="1"/>
  <c r="H4" i="1" s="1"/>
  <c r="B5" i="1" s="1"/>
  <c r="C5" i="1" s="1"/>
  <c r="D5" i="1" s="1"/>
  <c r="E5" i="1" s="1"/>
  <c r="F5" i="1" s="1"/>
  <c r="G5" i="1" s="1"/>
  <c r="H5" i="1" s="1"/>
  <c r="B6" i="1" s="1"/>
  <c r="C6" i="1" s="1"/>
  <c r="D6" i="1" s="1"/>
  <c r="E6" i="1" s="1"/>
  <c r="F6" i="1" s="1"/>
  <c r="G6" i="1" s="1"/>
  <c r="H6" i="1" s="1"/>
  <c r="AQ34" i="6"/>
  <c r="AQ33" i="6"/>
  <c r="AQ32" i="6"/>
  <c r="AQ31" i="6"/>
  <c r="AI37" i="6"/>
  <c r="AI36" i="6"/>
  <c r="AI35" i="6"/>
  <c r="AI34" i="6"/>
  <c r="AI32" i="6"/>
  <c r="AI31" i="6"/>
  <c r="AI30" i="6"/>
  <c r="Z37" i="6"/>
  <c r="Z36" i="6"/>
  <c r="Z35" i="6"/>
  <c r="Z34" i="6"/>
  <c r="Z32" i="6"/>
  <c r="Z31" i="6"/>
  <c r="Z30" i="6"/>
  <c r="S38" i="6"/>
  <c r="S37" i="6"/>
  <c r="S36" i="6"/>
  <c r="S35" i="6"/>
  <c r="S34" i="6"/>
  <c r="S33" i="6"/>
  <c r="S32" i="6"/>
  <c r="S31" i="6"/>
  <c r="S30" i="6"/>
  <c r="Q38" i="6"/>
  <c r="Q37" i="6"/>
  <c r="Q35" i="6"/>
  <c r="Q34" i="6"/>
  <c r="Q32" i="6"/>
  <c r="Q31" i="6"/>
  <c r="Q30" i="6"/>
  <c r="P32" i="6"/>
  <c r="P31" i="6"/>
  <c r="P30" i="6"/>
  <c r="D29" i="6"/>
  <c r="D28" i="6" s="1"/>
  <c r="AQ29" i="6"/>
  <c r="AP29" i="6"/>
  <c r="O29" i="6"/>
  <c r="O28" i="6" s="1"/>
  <c r="L29" i="6"/>
  <c r="L28" i="6" s="1"/>
  <c r="K29" i="6"/>
  <c r="K28" i="6" s="1"/>
  <c r="J29" i="6"/>
  <c r="J28" i="6" s="1"/>
  <c r="H29" i="6"/>
  <c r="H28" i="6" s="1"/>
  <c r="G29" i="6"/>
  <c r="G28" i="6" s="1"/>
  <c r="F29" i="6"/>
  <c r="F28" i="6" s="1"/>
  <c r="E29" i="6"/>
  <c r="E28" i="6" s="1"/>
  <c r="C29" i="6"/>
  <c r="L55" i="6"/>
  <c r="M53" i="6" s="1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C27" i="6"/>
  <c r="D27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I33" i="5"/>
  <c r="J33" i="5" s="1"/>
  <c r="K33" i="5" s="1"/>
  <c r="L33" i="5" s="1"/>
  <c r="H35" i="5" s="1"/>
  <c r="I35" i="5" s="1"/>
  <c r="J35" i="5" s="1"/>
  <c r="K35" i="5" s="1"/>
  <c r="L35" i="5" s="1"/>
  <c r="H37" i="5" s="1"/>
  <c r="I37" i="5" s="1"/>
  <c r="J37" i="5" s="1"/>
  <c r="K37" i="5" s="1"/>
  <c r="L37" i="5" s="1"/>
  <c r="H39" i="5" s="1"/>
  <c r="I39" i="5" s="1"/>
  <c r="J39" i="5" s="1"/>
  <c r="K39" i="5" s="1"/>
  <c r="L39" i="5" s="1"/>
  <c r="F33" i="5"/>
  <c r="B35" i="5" s="1"/>
  <c r="C35" i="5" s="1"/>
  <c r="D35" i="5" s="1"/>
  <c r="E35" i="5" s="1"/>
  <c r="F35" i="5" s="1"/>
  <c r="B37" i="5" s="1"/>
  <c r="C37" i="5" s="1"/>
  <c r="D37" i="5" s="1"/>
  <c r="E37" i="5" s="1"/>
  <c r="F37" i="5" s="1"/>
  <c r="B39" i="5" s="1"/>
  <c r="C39" i="5" s="1"/>
  <c r="D39" i="5" s="1"/>
  <c r="E39" i="5" s="1"/>
  <c r="F39" i="5" s="1"/>
  <c r="B41" i="5" s="1"/>
  <c r="C41" i="5" s="1"/>
  <c r="D41" i="5" s="1"/>
  <c r="E41" i="5" s="1"/>
  <c r="F41" i="5" s="1"/>
  <c r="I19" i="5"/>
  <c r="J19" i="5" s="1"/>
  <c r="K19" i="5" s="1"/>
  <c r="L19" i="5" s="1"/>
  <c r="H21" i="5" s="1"/>
  <c r="I21" i="5" s="1"/>
  <c r="J21" i="5" s="1"/>
  <c r="K21" i="5" s="1"/>
  <c r="L21" i="5" s="1"/>
  <c r="H23" i="5" s="1"/>
  <c r="I23" i="5" s="1"/>
  <c r="J23" i="5" s="1"/>
  <c r="K23" i="5" s="1"/>
  <c r="L23" i="5" s="1"/>
  <c r="H25" i="5" s="1"/>
  <c r="I25" i="5" s="1"/>
  <c r="J25" i="5" s="1"/>
  <c r="K25" i="5" s="1"/>
  <c r="L25" i="5" s="1"/>
  <c r="H27" i="5" s="1"/>
  <c r="I27" i="5" s="1"/>
  <c r="B27" i="5"/>
  <c r="J4" i="5"/>
  <c r="K4" i="5" s="1"/>
  <c r="L4" i="5" s="1"/>
  <c r="H6" i="5" s="1"/>
  <c r="I6" i="5" s="1"/>
  <c r="J6" i="5" s="1"/>
  <c r="K6" i="5" s="1"/>
  <c r="L6" i="5" s="1"/>
  <c r="H8" i="5" s="1"/>
  <c r="I8" i="5" s="1"/>
  <c r="J8" i="5" s="1"/>
  <c r="K8" i="5" s="1"/>
  <c r="L8" i="5" s="1"/>
  <c r="H10" i="5" s="1"/>
  <c r="I10" i="5" s="1"/>
  <c r="J10" i="5" s="1"/>
  <c r="K10" i="5" s="1"/>
  <c r="L10" i="5" s="1"/>
  <c r="H12" i="5" s="1"/>
  <c r="I12" i="5" s="1"/>
  <c r="J12" i="5" s="1"/>
  <c r="K12" i="5" s="1"/>
  <c r="D4" i="5"/>
  <c r="E4" i="5" s="1"/>
  <c r="F4" i="5" s="1"/>
  <c r="C6" i="5" s="1"/>
  <c r="D6" i="5" s="1"/>
  <c r="E6" i="5" s="1"/>
  <c r="F6" i="5" s="1"/>
  <c r="B8" i="5" s="1"/>
  <c r="C8" i="5" s="1"/>
  <c r="D8" i="5" s="1"/>
  <c r="E8" i="5" s="1"/>
  <c r="F8" i="5" s="1"/>
  <c r="B10" i="5" s="1"/>
  <c r="C10" i="5" s="1"/>
  <c r="D10" i="5" s="1"/>
  <c r="E10" i="5" s="1"/>
  <c r="F10" i="5" s="1"/>
  <c r="B12" i="5" s="1"/>
  <c r="AB29" i="1"/>
  <c r="AA29" i="1"/>
  <c r="G18" i="1"/>
  <c r="H18" i="1" s="1"/>
  <c r="B19" i="1" s="1"/>
  <c r="C19" i="1" s="1"/>
  <c r="D19" i="1" s="1"/>
  <c r="E19" i="1" s="1"/>
  <c r="F19" i="1" s="1"/>
  <c r="G19" i="1" s="1"/>
  <c r="H19" i="1" s="1"/>
  <c r="B20" i="1" s="1"/>
  <c r="C20" i="1" s="1"/>
  <c r="D20" i="1" s="1"/>
  <c r="E20" i="1" s="1"/>
  <c r="F20" i="1" s="1"/>
  <c r="G20" i="1" s="1"/>
  <c r="H20" i="1" s="1"/>
  <c r="B21" i="1" s="1"/>
  <c r="C21" i="1" s="1"/>
  <c r="D21" i="1" s="1"/>
  <c r="E21" i="1" s="1"/>
  <c r="F21" i="1" s="1"/>
  <c r="G21" i="1" s="1"/>
  <c r="H21" i="1" s="1"/>
  <c r="B22" i="1" s="1"/>
  <c r="C22" i="1" s="1"/>
  <c r="D22" i="1" s="1"/>
  <c r="E22" i="1" s="1"/>
  <c r="F22" i="1" s="1"/>
  <c r="G22" i="1" s="1"/>
  <c r="AB11" i="1"/>
  <c r="P11" i="1"/>
  <c r="J12" i="1" s="1"/>
  <c r="K12" i="1" s="1"/>
  <c r="L12" i="1" s="1"/>
  <c r="M12" i="1" s="1"/>
  <c r="N12" i="1" s="1"/>
  <c r="O12" i="1" s="1"/>
  <c r="P12" i="1" s="1"/>
  <c r="J13" i="1" s="1"/>
  <c r="K13" i="1" s="1"/>
  <c r="L13" i="1" s="1"/>
  <c r="M13" i="1" s="1"/>
  <c r="N13" i="1" s="1"/>
  <c r="O13" i="1" s="1"/>
  <c r="P13" i="1" s="1"/>
  <c r="J14" i="1" s="1"/>
  <c r="K14" i="1" s="1"/>
  <c r="L14" i="1" s="1"/>
  <c r="M14" i="1" s="1"/>
  <c r="N14" i="1" s="1"/>
  <c r="O14" i="1" s="1"/>
  <c r="P14" i="1" s="1"/>
  <c r="E11" i="1"/>
  <c r="F11" i="1" s="1"/>
  <c r="G11" i="1" s="1"/>
  <c r="H11" i="1" s="1"/>
  <c r="B12" i="1" s="1"/>
  <c r="C12" i="1" s="1"/>
  <c r="W4" i="1"/>
  <c r="X4" i="1" s="1"/>
  <c r="R5" i="1" s="1"/>
  <c r="S5" i="1" s="1"/>
  <c r="T5" i="1" s="1"/>
  <c r="U5" i="1" s="1"/>
  <c r="V5" i="1" s="1"/>
  <c r="W5" i="1" s="1"/>
  <c r="X5" i="1" s="1"/>
  <c r="R6" i="1" s="1"/>
  <c r="S6" i="1" s="1"/>
  <c r="T6" i="1" s="1"/>
  <c r="U6" i="1" s="1"/>
  <c r="V6" i="1" s="1"/>
  <c r="W6" i="1" s="1"/>
  <c r="X6" i="1" s="1"/>
  <c r="R7" i="1" s="1"/>
  <c r="S7" i="1" s="1"/>
  <c r="T7" i="1" s="1"/>
  <c r="U7" i="1" s="1"/>
  <c r="V7" i="1" s="1"/>
  <c r="W7" i="1" s="1"/>
  <c r="X7" i="1" s="1"/>
  <c r="R8" i="1" s="1"/>
  <c r="S8" i="1" s="1"/>
  <c r="T8" i="1" s="1"/>
  <c r="L4" i="1"/>
  <c r="M4" i="1" s="1"/>
  <c r="N4" i="1" s="1"/>
  <c r="O4" i="1" s="1"/>
  <c r="P4" i="1" s="1"/>
  <c r="J5" i="1" s="1"/>
  <c r="K5" i="1" s="1"/>
  <c r="AD29" i="1" l="1"/>
  <c r="L5" i="1"/>
  <c r="M5" i="1" s="1"/>
  <c r="N5" i="1" s="1"/>
  <c r="O5" i="1" s="1"/>
  <c r="P5" i="1" s="1"/>
  <c r="J6" i="1" s="1"/>
  <c r="K6" i="1" s="1"/>
  <c r="L6" i="1" s="1"/>
  <c r="M6" i="1" s="1"/>
  <c r="N6" i="1" s="1"/>
  <c r="O6" i="1" s="1"/>
  <c r="P6" i="1" s="1"/>
  <c r="J7" i="1" s="1"/>
  <c r="K7" i="1" s="1"/>
  <c r="L7" i="1" s="1"/>
  <c r="M7" i="1" s="1"/>
  <c r="N7" i="1" s="1"/>
  <c r="O7" i="1" s="1"/>
  <c r="P7" i="1" s="1"/>
  <c r="J8" i="1" s="1"/>
  <c r="K8" i="1" s="1"/>
  <c r="L8" i="1" s="1"/>
  <c r="M8" i="1" s="1"/>
  <c r="N8" i="1" s="1"/>
  <c r="AC11" i="1"/>
  <c r="AD11" i="1" s="1"/>
  <c r="AE11" i="1" s="1"/>
  <c r="AF11" i="1" s="1"/>
  <c r="Z12" i="1" s="1"/>
  <c r="AA12" i="1" s="1"/>
  <c r="AB12" i="1" s="1"/>
  <c r="AC12" i="1" s="1"/>
  <c r="AD12" i="1" s="1"/>
  <c r="AE12" i="1" s="1"/>
  <c r="AF12" i="1" s="1"/>
  <c r="Z13" i="1" s="1"/>
  <c r="AA13" i="1" s="1"/>
  <c r="AB13" i="1" s="1"/>
  <c r="AC13" i="1" s="1"/>
  <c r="AD13" i="1" s="1"/>
  <c r="AE13" i="1" s="1"/>
  <c r="AF13" i="1" s="1"/>
  <c r="Z14" i="1" s="1"/>
  <c r="AA14" i="1" s="1"/>
  <c r="AB14" i="1" s="1"/>
  <c r="AC14" i="1" s="1"/>
  <c r="AD14" i="1" s="1"/>
  <c r="AE14" i="1" s="1"/>
  <c r="AF14" i="1" s="1"/>
  <c r="Z15" i="1" s="1"/>
  <c r="AA15" i="1" s="1"/>
  <c r="AB15" i="1" s="1"/>
  <c r="B7" i="1"/>
  <c r="C7" i="1" s="1"/>
  <c r="D7" i="1" s="1"/>
  <c r="E7" i="1" s="1"/>
  <c r="F7" i="1" s="1"/>
  <c r="G7" i="1" s="1"/>
  <c r="H7" i="1" s="1"/>
  <c r="D12" i="1"/>
  <c r="E12" i="1" s="1"/>
  <c r="F12" i="1" s="1"/>
  <c r="G12" i="1" s="1"/>
  <c r="H12" i="1" s="1"/>
  <c r="B13" i="1" s="1"/>
  <c r="C13" i="1" s="1"/>
  <c r="D13" i="1" s="1"/>
  <c r="E13" i="1" s="1"/>
  <c r="F13" i="1" s="1"/>
  <c r="G13" i="1" s="1"/>
  <c r="H13" i="1" s="1"/>
  <c r="B14" i="1" s="1"/>
  <c r="C14" i="1" s="1"/>
  <c r="D14" i="1" s="1"/>
  <c r="E14" i="1" s="1"/>
  <c r="F14" i="1" s="1"/>
  <c r="G14" i="1" s="1"/>
  <c r="H14" i="1" s="1"/>
  <c r="B15" i="1" s="1"/>
  <c r="C15" i="1" s="1"/>
  <c r="D15" i="1" s="1"/>
  <c r="E15" i="1" s="1"/>
  <c r="F15" i="1" s="1"/>
  <c r="J15" i="1"/>
  <c r="K15" i="1" s="1"/>
  <c r="L15" i="1" s="1"/>
  <c r="M15" i="1" s="1"/>
  <c r="N15" i="1" s="1"/>
  <c r="S13" i="1"/>
  <c r="T13" i="1" s="1"/>
  <c r="AC7" i="1"/>
  <c r="AD7" i="1" s="1"/>
  <c r="AE7" i="1" s="1"/>
  <c r="AF7" i="1" s="1"/>
  <c r="Z8" i="1" s="1"/>
  <c r="AA8" i="1" s="1"/>
  <c r="U8" i="1"/>
  <c r="V8" i="1" s="1"/>
  <c r="W8" i="1" s="1"/>
  <c r="X8" i="1" s="1"/>
  <c r="M54" i="6"/>
  <c r="M52" i="6"/>
  <c r="C8" i="1" l="1"/>
  <c r="B8" i="1"/>
  <c r="AB8" i="1"/>
  <c r="U13" i="1"/>
  <c r="V13" i="1" s="1"/>
  <c r="W13" i="1" s="1"/>
  <c r="X13" i="1" s="1"/>
  <c r="S14" i="1" s="1"/>
  <c r="T14" i="1" s="1"/>
  <c r="U14" i="1" s="1"/>
  <c r="V14" i="1" s="1"/>
  <c r="W14" i="1" s="1"/>
  <c r="X14" i="1" s="1"/>
</calcChain>
</file>

<file path=xl/sharedStrings.xml><?xml version="1.0" encoding="utf-8"?>
<sst xmlns="http://schemas.openxmlformats.org/spreadsheetml/2006/main" count="779" uniqueCount="450">
  <si>
    <t>SETEMBRE</t>
  </si>
  <si>
    <t>OCTUBRE</t>
  </si>
  <si>
    <t>NOVEMBRE</t>
  </si>
  <si>
    <t>DESEMBRE</t>
  </si>
  <si>
    <t>GENER</t>
  </si>
  <si>
    <t>FEBRER</t>
  </si>
  <si>
    <t>MARÇ</t>
  </si>
  <si>
    <t>ABRIL</t>
  </si>
  <si>
    <t>MAIG</t>
  </si>
  <si>
    <t>JUNY</t>
  </si>
  <si>
    <t>FESTES LOCALS</t>
  </si>
  <si>
    <t>FESTIUS</t>
  </si>
  <si>
    <t>Avaluació inicial</t>
  </si>
  <si>
    <t>3 d'octubre</t>
  </si>
  <si>
    <t>dilluns</t>
  </si>
  <si>
    <t>1ª avaluació</t>
  </si>
  <si>
    <t>dimarts</t>
  </si>
  <si>
    <t>dijous</t>
  </si>
  <si>
    <t>UP1 – Introducció al desenvolupament web i entorn de treball</t>
  </si>
  <si>
    <t>FCT</t>
  </si>
  <si>
    <t>divendres</t>
  </si>
  <si>
    <t>UP2 – Disseny web avançat i responsive</t>
  </si>
  <si>
    <t>UP3 – Fonaments de TypeScript i Angular</t>
  </si>
  <si>
    <t>UP4 – Serveis, rutes i navegació</t>
  </si>
  <si>
    <t>UP5 – Comunicació amb el servidor (HTTP i APIs REST)</t>
  </si>
  <si>
    <t>UP8 – Projecte final i presentació</t>
  </si>
  <si>
    <t>UP6 - Gestió de l'estat i emmagatzematge local</t>
  </si>
  <si>
    <t>UP7 - Control d'errors i depuració</t>
  </si>
  <si>
    <t>0612. Desenrotllament Web en Entorn Client</t>
  </si>
  <si>
    <t>1. Selecciona les arquitectures i tecnologies de programació sobre clients Web, identificant i analitzant les capacitats i les característiques de cadascuna.</t>
  </si>
  <si>
    <t>Criteris d'avaluació:</t>
  </si>
  <si>
    <t>a) S'han caracteritzat i diferenciat els models d'execució de codi al servidor i al client web.</t>
  </si>
  <si>
    <t>b) S'han identificat les capacitats i els mecanismes d'execució de codi dels navegadors web.</t>
  </si>
  <si>
    <t>c) S'han identificat i caracteritzat els principals llenguatges relacionats amb la programació de clients web.</t>
  </si>
  <si>
    <t>d) S'han reconegut les particularitats de la programació de guions i els seus avantatges i desavantatges sobre la programació tradicional.</t>
  </si>
  <si>
    <t>e) Shan verificat els mecanismes dintegració dels llenguatges de marques amb els llenguatges de programació de clients Web.</t>
  </si>
  <si>
    <t>f) S'han reconegut i avaluat les eines de programació sobre clients web.</t>
  </si>
  <si>
    <t>2. Escriu sentències simples, aplicant la sintaxi del llenguatge i verificant-ne l'execució sobre navegadors web.</t>
  </si>
  <si>
    <t>a) S'ha seleccionat un llenguatge de programació de clients web en funció de les possibilitats.</t>
  </si>
  <si>
    <t>b) S'han utilitzat els diferents tipus de variables i operadors disponibles al llenguatge.</t>
  </si>
  <si>
    <t>c) Shan identificat els àmbits dutilització de les variables.</t>
  </si>
  <si>
    <t>d) S'han reconegut i comprovat les peculiaritats del llenguatge respecte de les conversions entre diferents tipus de dades.</t>
  </si>
  <si>
    <t>e) Shan utilitzat mecanismes de decisió en la creació de blocs de sentències.</t>
  </si>
  <si>
    <t>f) S'han utilitzat bucles i se n'ha verificat el funcionament.</t>
  </si>
  <si>
    <t>g) S'han afegit comentaris al codi.</t>
  </si>
  <si>
    <t>h) S'han utilitzat eines i entorns per facilitar la programació, la prova i la depuració del codi.</t>
  </si>
  <si>
    <t>3. Escriu codi, identificant i aplicant les funcionalitats aportades pels objectes predefinits del llenguatge.</t>
  </si>
  <si>
    <t>a) S'han identificat els objectes predefinits del llenguatge.</t>
  </si>
  <si>
    <t>b) S'han analitzat els objectes referents a les finestres del navegador i als documents web que contenen.</t>
  </si>
  <si>
    <t>c) S'han escrit sentències que utilitzen els objectes predefinits del llenguatge per canviar l'aspecte del navegador i el document que conté.</t>
  </si>
  <si>
    <t>d) S'han generat textos i etiquetes com a resultat de l'execució de codi al navegador.</t>
  </si>
  <si>
    <t>e) S'han escrit sentències que utilitzen els objectes predefinits del llenguatge per interactuar amb l'usuari.</t>
  </si>
  <si>
    <t>f) S'han utilitzat les característiques pròpies del llenguatge en documents compostos per diverses finestres i marcs.</t>
  </si>
  <si>
    <t>g) S'han utilitzat “cookies” per emmagatzemar informació i recuperar-ne el contingut.</t>
  </si>
  <si>
    <t>h) S'ha depurat i documentat el codi.</t>
  </si>
  <si>
    <t>4. Programa codi per a clients Web analitzant i utilitzant estructures definides per l'usuari.</t>
  </si>
  <si>
    <t>a) S'han classificat i utilitzat les funcions predefinides del llenguatge.</t>
  </si>
  <si>
    <t>b) S'han creat i s'han utilitzat funcions definides per l'usuari.</t>
  </si>
  <si>
    <t>c) S'han reconegut les característiques del llenguatge relatives a la creació i l'ús d'arrays.</t>
  </si>
  <si>
    <t>d) S'han creat i utilitzat arrays.</t>
  </si>
  <si>
    <t>f) S'ha creat codi per definir l'estructura d'objectes.</t>
  </si>
  <si>
    <t>g) S'han creat mètodes i propietats.</t>
  </si>
  <si>
    <t>h) S'ha creat codi que faci ús d'objectes definits per l'usuari.</t>
  </si>
  <si>
    <t>i) S'ha depurat i documentat el codi.</t>
  </si>
  <si>
    <t>5. Desenvolupa aplicacions web interactives integrant mecanismes de maneig d'esdeveniments.</t>
  </si>
  <si>
    <t>a) S'han reconegut les possibilitats del llenguatge de marques relatives a la captura dels esdeveniments produïts.</t>
  </si>
  <si>
    <t>b) S'han identificat les característiques del llenguatge de programació relatives a la gestió dels esdeveniments.</t>
  </si>
  <si>
    <t>c) S'han diferenciat els tipus d'esdeveniments que es poden fer servir.</t>
  </si>
  <si>
    <t>d) S'ha creat un codi que capturi i utilitzi esdeveniments.</t>
  </si>
  <si>
    <t>e) S'han reconegut les capacitats del llenguatge relatives a la gestió de formularis web.</t>
  </si>
  <si>
    <t>f) S'han validat formularis web utilitzant esdeveniments.</t>
  </si>
  <si>
    <t>g) S'han utilitzat expressions regulars per facilitar els procediments de validació.</t>
  </si>
  <si>
    <t>h) S'ha provat i documentat el codi.</t>
  </si>
  <si>
    <t>6. Desenvolupa aplicacions web analitzant i aplicant les característiques del model d'objectes del document.</t>
  </si>
  <si>
    <t>a) S'ha reconegut el model d'objectes del document de pàgina web.</t>
  </si>
  <si>
    <t>b) S'han identificat els objectes del model, les propietats i els mètodes.</t>
  </si>
  <si>
    <t>c) S'ha creat i verificat un codi que accedisca a l'estructura del document.</t>
  </si>
  <si>
    <t>d) S'han creat nous elements de l'estructura i s'han modificat elements ja existents.</t>
  </si>
  <si>
    <t>e) S'han associat accions als esdeveniments del model.</t>
  </si>
  <si>
    <t>f) S'han identificat les diferències que presenta el model a diferents navegadors.</t>
  </si>
  <si>
    <t>g) S'han programat aplicacions Web de manera que funcionin a navegadors amb diferents implementacions del model.</t>
  </si>
  <si>
    <t>h) S'han independitzat les tres facetes (contingut, aspecte i comportament), en aplicacions web.</t>
  </si>
  <si>
    <t>7. Desenvolupa aplicacions Web dinàmiques, reconeixent i aplicant mecanismes de comunicació asíncrona entre client i servidor.</t>
  </si>
  <si>
    <t>a) S'han avaluat els avantatges i els inconvenients d'utilitzar mecanismes de comunicació asíncrona entre client i servidor web.</t>
  </si>
  <si>
    <t>b) Shan analitzat els mecanismes disponibles per a lestabliment de la comunicació asíncrona.</t>
  </si>
  <si>
    <t>c) S'han fet servir els objectes relacionats.</t>
  </si>
  <si>
    <t>d) Se n'han identificat les propietats i els mètodes.</t>
  </si>
  <si>
    <t>e) S'ha utilitzat comunicació asíncrona en l'actualització dinàmica del document web.</t>
  </si>
  <si>
    <t>f) S'han utilitzat diferents formats en l'enviament i la recepció d'informació.</t>
  </si>
  <si>
    <t>g) S'han programat aplicacions Web asíncrones de manera que funcionin a diferents navegadors.</t>
  </si>
  <si>
    <t>h) S'han classificat i analitzat llibreries que facilitin la incorporació de les tecnologies d'actualització dinàmica a la programació de pàgines web.</t>
  </si>
  <si>
    <t>i) S'han creat i depurat programes que utilitzin aquestes llibreries.</t>
  </si>
  <si>
    <t>Mòdul professional: Desenrotllament Web en Entorn Client</t>
  </si>
  <si>
    <t>Codi: 0612</t>
  </si>
  <si>
    <t>Duració: 140 hores</t>
  </si>
  <si>
    <t>Continguts:</t>
  </si>
  <si>
    <t>Selecció d’arquitectures i ferramentes de programació:</t>
  </si>
  <si>
    <t>− Models de programació en entorns client/servidor.</t>
  </si>
  <si>
    <t>− Mecanismes d’execució de codi en un navegador web.</t>
  </si>
  <si>
    <t>− Capacitats i limitacions d’execució.</t>
  </si>
  <si>
    <t>− Compatibilitat amb navegadors web.</t>
  </si>
  <si>
    <t>− Característiques dels llenguatges script.</t>
  </si>
  <si>
    <t>− Llenguatges de programació en entorn client.</t>
  </si>
  <si>
    <t>− Tecnologies i llenguatges associats.</t>
  </si>
  <si>
    <t>− Integració del codi amb les etiquetes en documents HTML.</t>
  </si>
  <si>
    <t>− Ferramentes de programació.</t>
  </si>
  <si>
    <t>− Navegadors. Tipus i característiques.</t>
  </si>
  <si>
    <t>Maneig de la sintaxi del llenguatge:</t>
  </si>
  <si>
    <t>− Etiquetes i ubicació del codi.</t>
  </si>
  <si>
    <t>− Variables. Tipus i àmbit.</t>
  </si>
  <si>
    <t>− Tipus de dades.</t>
  </si>
  <si>
    <t>− Conversions entre tipus de dades.</t>
  </si>
  <si>
    <t>− Literals.</t>
  </si>
  <si>
    <t>− Assignacions.</t>
  </si>
  <si>
    <t>− Operadors. Precedència dels operadors.</t>
  </si>
  <si>
    <t>− Expressions.</t>
  </si>
  <si>
    <t>− Comentaris al codi.</t>
  </si>
  <si>
    <t>− Ordes.</t>
  </si>
  <si>
    <t>− Blocs de codi.</t>
  </si>
  <si>
    <t>− Decisions.</t>
  </si>
  <si>
    <t>− Bucles.</t>
  </si>
  <si>
    <t>− Arquitectura client/servidor.</t>
  </si>
  <si>
    <t>− Estructures de control de flux.</t>
  </si>
  <si>
    <t>− Convencions de format i codificació.</t>
  </si>
  <si>
    <t>− Ferramentes de depuració d’errors.</t>
  </si>
  <si>
    <t>Utilització dels objectes predefinits del llenguatge:</t>
  </si>
  <si>
    <t>− Utilització d’objectes. Objectes natius del llenguatge.</t>
  </si>
  <si>
    <t>− Interacció amb el navegador. Objectes predefinits associats.</t>
  </si>
  <si>
    <t>− Gestió i creació de macros.</t>
  </si>
  <si>
    <t>− Marcs imbricats.</t>
  </si>
  <si>
    <t>− Execució de codi entre macros.</t>
  </si>
  <si>
    <t>− Aplicacions pràctiques dels marcs.</t>
  </si>
  <si>
    <t>− Gestió de l’aparença de la finestra.</t>
  </si>
  <si>
    <t>− Creació de finestres noves. Comunicació entre finestres.</t>
  </si>
  <si>
    <t>Programació amb arrays, funcions i objectes definits per l’usuari:</t>
  </si>
  <si>
    <t>− Funcions predefinides del llenguatge.</t>
  </si>
  <si>
    <t>− Crides a funcions. Definició de funcions.</t>
  </si>
  <si>
    <t>− Arrays.</t>
  </si>
  <si>
    <t>− Inicialització d’arrays.</t>
  </si>
  <si>
    <t>− Recorregut d’arrays.</t>
  </si>
  <si>
    <t>− Creació d’objectes.</t>
  </si>
  <si>
    <t>− Definició de mètodes i propietats.</t>
  </si>
  <si>
    <t>Interacció amb l’usuari: esdeveniments i formularis:</t>
  </si>
  <si>
    <t>− Model de gestió d’esdeveniments.</t>
  </si>
  <si>
    <t>− Model d’esdeveniments estàndard.</t>
  </si>
  <si>
    <t>− Controladors d’esdeveniments.</t>
  </si>
  <si>
    <t>− Utilització de formularis des de codi.</t>
  </si>
  <si>
    <t>− Accés als membres del formulari.</t>
  </si>
  <si>
    <t>− Modificació d’aparença i comportament.</t>
  </si>
  <si>
    <t>− Validació i enviament de formularis.</t>
  </si>
  <si>
    <t>− Expressions regulars.</t>
  </si>
  <si>
    <t>− Utilització de galetes.</t>
  </si>
  <si>
    <t>− Escriptura i lectura de galetes.</t>
  </si>
  <si>
    <t>− Ús de frameworks. Desenrotllament ràpid d’aplicacions.</t>
  </si>
  <si>
    <t>Utilització del model d’objectes del document (DOM):</t>
  </si>
  <si>
    <t>− El model d’objectes del document (DOM).</t>
  </si>
  <si>
    <t>− Objectes del model. Propietats i mètodes dels objectes.</t>
  </si>
  <si>
    <t>− Representació de la pàgina web com una estructura en arbre.</t>
  </si>
  <si>
    <t>− Accés al document des de codi.</t>
  </si>
  <si>
    <t>− Creació i modificació d’elements.</t>
  </si>
  <si>
    <t>− El model d’esdeveniments.</t>
  </si>
  <si>
    <t>− Programació d’esdeveniments.</t>
  </si>
  <si>
    <t>− Diferències en les implementacions del model.</t>
  </si>
  <si>
    <t>− Desenrotllament d’aplicacions multiclient.</t>
  </si>
  <si>
    <t>Utilització de mecanismes de comunicació asíncrona:</t>
  </si>
  <si>
    <t>− Mecanismes de comunicació asíncrona.</t>
  </si>
  <si>
    <t>− Objectes, propietats i mètodes relacionats.</t>
  </si>
  <si>
    <t>− Recuperació remota d’informació.</t>
  </si>
  <si>
    <t>− Programació d’aplicacions amb comunicació asíncrona.</t>
  </si>
  <si>
    <t>− Modificació dinàmica del document utilitzant comunicació asíncrona.</t>
  </si>
  <si>
    <t>− Formats per a l’enviament i la recepció d’informació.</t>
  </si>
  <si>
    <t>− Llibreries d’actualització dinàmica.</t>
  </si>
  <si>
    <t>− Avantatges i inconvenients de l’ús de la comunicació asíncrona</t>
  </si>
  <si>
    <t>1 - ¿Qué es Angular? - Herramientas necesarias&lt;/a&gt;</t>
  </si>
  <si>
    <t>2 - Creación de un proyecto y prueba de su funcionamiento&lt;/a&gt;</t>
  </si>
  <si>
    <t>3 - Archivos y carpetas básicas de un proyecto en Angular&lt;/a&gt;</t>
  </si>
  <si>
    <t>4 - Interpolación en los archivos HTML de Angular&lt;/a&gt;</t>
  </si>
  <si>
    <t>5 - Sintaxis de Template para estructuras condicionales y repetitivas: @if / @else - @for - @switch/@case/@default&lt;/a&gt;</t>
  </si>
  <si>
    <t>6 - Captura de eventos&lt;/a&gt;</t>
  </si>
  <si>
    <t>7 - Enlace de propiedades (Property Binding)&lt;/a&gt;</t>
  </si>
  <si>
    <t>8 - Componentes: creación&lt;/a&gt;</t>
  </si>
  <si>
    <t>9 - Componentes: pasar datos de la componente padre a la componente hija&lt;/a&gt;</t>
  </si>
  <si>
    <t>10 - Componentes: disparo de eventos de la componente hija a la componente padre&lt;/a&gt;</t>
  </si>
  <si>
    <t>11 - Componentes: llamar a métodos de la componente hija desde el template del padre&lt;/a&gt;</t>
  </si>
  <si>
    <t>12 - Componentes: llamar a métodos de la componente hija desde la clase padre&lt;/a&gt;</t>
  </si>
  <si>
    <t>13 - Formularios : formulario basado en plantillas&lt;/a&gt;</t>
  </si>
  <si>
    <t>14 - Formularios reactivos : ReactiveFormsModule, FormControl&lt;/a&gt;</t>
  </si>
  <si>
    <t>15 - Formularios reactivos : FormGroup&lt;/a&gt;</t>
  </si>
  <si>
    <t>16 - Formularios reactivos : controles checkbox, radio y select &lt;/a&gt;</t>
  </si>
  <si>
    <t>17 - Formularios reactivos : FormGroup anidados&lt;/a&gt;</t>
  </si>
  <si>
    <t>18 - Formularios reactivos : validaciones estándares de Angular&lt;/a&gt;</t>
  </si>
  <si>
    <t>19 - Formularios reactivos : validaciones personalizadas&lt;/a&gt;</t>
  </si>
  <si>
    <t>20 - Formularios reactivos : FormBuilder&lt;/a&gt;</t>
  </si>
  <si>
    <t>21 - Router : definición de rutas&lt;/a&gt;</t>
  </si>
  <si>
    <t>22 - Router : parámetros en una ruta&lt;/a&gt;</t>
  </si>
  <si>
    <t>23 - Router : captura de ruta no existente&lt;/a&gt;</t>
  </si>
  <si>
    <t>24 - Router : rutas anidadas&lt;/a&gt;</t>
  </si>
  <si>
    <t>25 - Servicios : concepto y pasos para crearlos&lt;/a&gt;</t>
  </si>
  <si>
    <t>26 - Servicios : recuperación de datos de un servidor web&lt;/a&gt;</t>
  </si>
  <si>
    <t>27 - Comunicación entre Angular y PHP&lt;/a&gt;</t>
  </si>
  <si>
    <t>28 - Pipes: definición&lt;/a&gt;</t>
  </si>
  <si>
    <t>29 - Pipes: creación de pipes personalizadas&lt;/a&gt;</t>
  </si>
  <si>
    <t>30 - Compilación y despliegue de una aplicación Angular en un servidor de Internet&lt;/a&gt;</t>
  </si>
  <si>
    <t>31 - Herramienta Angular CLI&lt;/a&gt;</t>
  </si>
  <si>
    <t>32 - Herramienta Angular CLI - comando: ng new&lt;/a&gt;</t>
  </si>
  <si>
    <t>33 - Herramienta Angular CLI - comando: ng generate&lt;/a&gt;</t>
  </si>
  <si>
    <t>34 - Herramienta Angular CLI - comando: ng serve&lt;/a&gt;</t>
  </si>
  <si>
    <t>35 - Estructura y nombres de archivos y carpetas de un proyecto Angular - Carpeta raiz&lt;/a&gt;</t>
  </si>
  <si>
    <t>36 - Estructura y nombres de archivos y carpetas de un proyecto Angular - Carpeta 'src'&lt;/a&gt;</t>
  </si>
  <si>
    <t>37 - Estructura y nombres de archivos y carpetas de un proyecto Angular - Carpeta 'app'&lt;/a&gt;</t>
  </si>
  <si>
    <t>38 - Estructura y nombres de archivos y carpetas de un proyecto Angular - Carpeta 'public'&lt;/a&gt;</t>
  </si>
  <si>
    <t>39 - Estructura y nombres de archivos y carpetas de un proyecto Angular - Carpetas '&amp;lt;Nombre del proyecto&amp;gt;\dist'&lt;/a&gt;</t>
  </si>
  <si>
    <t>40 - Estructura y nombres de archivos y carpetas de un proyecto Angular - Carpeta node_modules&lt;/a&gt;</t>
  </si>
  <si>
    <t>41 - Vistas diferidas : @defer {} @placeholder{}&lt;/a&gt;</t>
  </si>
  <si>
    <t>42 - Vistas diferidas : @defer ([opciones de activación]) {}&lt;/a&gt;</t>
  </si>
  <si>
    <t>43 - Vistas diferidas : Lazy Loading (carga perezosa)&lt;/a&gt;</t>
  </si>
  <si>
    <t>44 - Vistas diferidas : @defer (when [expresión lógica]) {}&lt;/a&gt;</t>
  </si>
  <si>
    <t>45 - Vistas diferidas : @defer {} @placeholder{} @loading{} @error{}&lt;/a&gt;</t>
  </si>
  <si>
    <t>46 - Directiva de atributo [ngStyle] y directivas para estilos individuales - Sintaxis completa&lt;/a&gt;</t>
  </si>
  <si>
    <t>47 - Directiva de atributo [ngClass] y directivas para clases individuales - Sintaxis completa&lt;/a&gt;</t>
  </si>
  <si>
    <t>48 - Directivas de atributo - creación de directivas personalizadas&lt;/a&gt;</t>
  </si>
  <si>
    <t>49 - Directivas de atributo - creación y definición de propiedades&lt;/a&gt;</t>
  </si>
  <si>
    <t>50 - Directivas de atributo - responder a eventos del usuario dentro de la directiva&lt;/a&gt;</t>
  </si>
  <si>
    <t>51 - TypeScript&lt;/a&gt;</t>
  </si>
  <si>
    <t>52 - TypeScript: tipado estático&lt;/a&gt;</t>
  </si>
  <si>
    <t>53 - TypeScript: clases&lt;/a&gt;</t>
  </si>
  <si>
    <t>54 - TypeScript: funciones y métodos&lt;/a&gt;</t>
  </si>
  <si>
    <t>55 - TypeScript: herencia&lt;/a&gt;</t>
  </si>
  <si>
    <t>56 - TypeScript: interfaces&lt;/a&gt;</t>
  </si>
  <si>
    <t>57 - TypeScript: clases genéricas&lt;/a&gt;</t>
  </si>
  <si>
    <t>58 - TypeScript y Angular: definición de una interfaz para controlar los tipos&lt;/a&gt;</t>
  </si>
  <si>
    <t>59 - TypeScript: decoradores&lt;/a&gt;</t>
  </si>
  <si>
    <t>60 - TypeScript y Angular: decorador @Component&lt;/a&gt;</t>
  </si>
  <si>
    <t>https://xxjcaxx.github.io/libro_dwec/desarrollofrontend.html</t>
  </si>
  <si>
    <t>https://xxjcaxx.github.io/libro_dwec/lenguajejavascript.html</t>
  </si>
  <si>
    <t>SPRINT 1</t>
  </si>
  <si>
    <t>Mockups de com ha de ser els escenaris i la navegació entre ells</t>
  </si>
  <si>
    <t>SPRINT 2</t>
  </si>
  <si>
    <t>https://xxjcaxx.github.io/libro_dwec/typescript.html</t>
  </si>
  <si>
    <t>sessió</t>
  </si>
  <si>
    <t>UP2 – Fonaments de TypeScript i Angular</t>
  </si>
  <si>
    <t>− Especificacions oficials (DOM, CSS, XHTML, EcmaScript, entre altres).</t>
  </si>
  <si>
    <t>− Generació de text i elements HTML des de codi. Manipulació d’elements HTML dinàmicament.</t>
  </si>
  <si>
    <t>AVALUACIÓ 1er trimestre</t>
  </si>
  <si>
    <t>SETMANA DE TREBALL EN EL PROJECTE</t>
  </si>
  <si>
    <t>PRESENTACIONS</t>
  </si>
  <si>
    <t>UP3 – Objectes predefinits d'Angular i funcions</t>
  </si>
  <si>
    <t>UP5 – Validacions, autentificació i autorització</t>
  </si>
  <si>
    <t>UP4 -Comunicació asíncrona i aplicacions dinàmiques</t>
  </si>
  <si>
    <t>UP6 – Integració amb l'usuari i DOM</t>
  </si>
  <si>
    <t>UP7 - Millorant el meu codi</t>
  </si>
  <si>
    <t>Avaluació final</t>
  </si>
  <si>
    <t>Sprint 1</t>
  </si>
  <si>
    <t>treball en el projecte</t>
  </si>
  <si>
    <t>Sprint 2</t>
  </si>
  <si>
    <t>Sprint 3</t>
  </si>
  <si>
    <t>Sprint 4</t>
  </si>
  <si>
    <t>Sprint 5</t>
  </si>
  <si>
    <t>SETMANA</t>
  </si>
  <si>
    <t>sprint</t>
  </si>
  <si>
    <t>3-4</t>
  </si>
  <si>
    <t>7-8</t>
  </si>
  <si>
    <t>14-15</t>
  </si>
  <si>
    <t>3-4-19</t>
  </si>
  <si>
    <t>7-8-12</t>
  </si>
  <si>
    <t>DILLUNS</t>
  </si>
  <si>
    <t>DIMARTS</t>
  </si>
  <si>
    <t>DIMECRES</t>
  </si>
  <si>
    <t>DIJOUS</t>
  </si>
  <si>
    <t>DIVENDRES</t>
  </si>
  <si>
    <t>setembre</t>
  </si>
  <si>
    <t>octubre</t>
  </si>
  <si>
    <t>novembre</t>
  </si>
  <si>
    <t>desembre</t>
  </si>
  <si>
    <t>gener</t>
  </si>
  <si>
    <t>febrer</t>
  </si>
  <si>
    <t>Inici de curs</t>
  </si>
  <si>
    <t>festiu</t>
  </si>
  <si>
    <t>vacances nadal</t>
  </si>
  <si>
    <r>
      <rPr>
        <b/>
        <sz val="11"/>
        <color theme="1"/>
        <rFont val="Aptos Narrow"/>
        <family val="2"/>
        <scheme val="minor"/>
      </rPr>
      <t xml:space="preserve">UP1 
- </t>
    </r>
    <r>
      <rPr>
        <sz val="11"/>
        <color theme="1"/>
        <rFont val="Aptos Narrow"/>
        <family val="2"/>
        <scheme val="minor"/>
      </rPr>
      <t>llenguatges script (TypeScript)
- llenguatges programació en client
- etiquetes HTML</t>
    </r>
  </si>
  <si>
    <r>
      <rPr>
        <b/>
        <sz val="11"/>
        <color theme="1"/>
        <rFont val="Aptos Narrow"/>
        <family val="2"/>
        <scheme val="minor"/>
      </rPr>
      <t>UP2</t>
    </r>
    <r>
      <rPr>
        <sz val="11"/>
        <color theme="1"/>
        <rFont val="Aptos Narrow"/>
        <family val="2"/>
        <scheme val="minor"/>
      </rPr>
      <t xml:space="preserve">
- mapeig de la sintaxi del llenguatge
- creació pàgina login  (HTML + CSS)
- implementació de conversions i assignacions</t>
    </r>
  </si>
  <si>
    <r>
      <rPr>
        <b/>
        <sz val="11"/>
        <color theme="1"/>
        <rFont val="Aptos Narrow"/>
        <family val="2"/>
        <scheme val="minor"/>
      </rPr>
      <t>UP2</t>
    </r>
    <r>
      <rPr>
        <sz val="11"/>
        <color theme="1"/>
        <rFont val="Aptos Narrow"/>
        <family val="2"/>
        <scheme val="minor"/>
      </rPr>
      <t xml:space="preserve">
- eines i entorns de programació
- utilització d'Angular: proves i depuració</t>
    </r>
  </si>
  <si>
    <r>
      <t xml:space="preserve"> </t>
    </r>
    <r>
      <rPr>
        <b/>
        <sz val="11"/>
        <color theme="1"/>
        <rFont val="Aptos Narrow"/>
        <family val="2"/>
        <scheme val="minor"/>
      </rPr>
      <t xml:space="preserve">SPRINT 1:
</t>
    </r>
    <r>
      <rPr>
        <sz val="11"/>
        <color theme="1"/>
        <rFont val="Aptos Narrow"/>
        <family val="2"/>
        <scheme val="minor"/>
      </rPr>
      <t xml:space="preserve">Aplicació Angular funcional amb una pàgina de login estàtica i estructura de components creada </t>
    </r>
  </si>
  <si>
    <r>
      <rPr>
        <b/>
        <sz val="11"/>
        <color theme="1"/>
        <rFont val="Aptos Narrow"/>
        <family val="2"/>
        <scheme val="minor"/>
      </rPr>
      <t>UP2</t>
    </r>
    <r>
      <rPr>
        <sz val="11"/>
        <color theme="1"/>
        <rFont val="Aptos Narrow"/>
        <family val="2"/>
        <scheme val="minor"/>
      </rPr>
      <t xml:space="preserve">
- estructures de control de flux
- convencions de format i codificació</t>
    </r>
  </si>
  <si>
    <t>9-10</t>
  </si>
  <si>
    <t>9-10-17-18-19-20</t>
  </si>
  <si>
    <r>
      <rPr>
        <b/>
        <sz val="11"/>
        <color theme="1"/>
        <rFont val="Aptos Narrow"/>
        <family val="2"/>
        <scheme val="minor"/>
      </rPr>
      <t xml:space="preserve">UP1
- </t>
    </r>
    <r>
      <rPr>
        <sz val="11"/>
        <color theme="1"/>
        <rFont val="Aptos Narrow"/>
        <family val="2"/>
        <scheme val="minor"/>
      </rPr>
      <t>model client/servidor
- capacitats i limitacions web
- creació estructura inicial projecte
- mockups projecte</t>
    </r>
  </si>
  <si>
    <r>
      <rPr>
        <b/>
        <sz val="11"/>
        <color theme="1"/>
        <rFont val="Aptos Narrow"/>
        <family val="2"/>
        <scheme val="minor"/>
      </rPr>
      <t xml:space="preserve">UP1 
- </t>
    </r>
    <r>
      <rPr>
        <sz val="11"/>
        <color theme="1"/>
        <rFont val="Aptos Narrow"/>
        <family val="2"/>
        <scheme val="minor"/>
      </rPr>
      <t>llenguatges script (TypeScript)
- llenguatges programació en client
- etiquetes HTML
- mockups projecte</t>
    </r>
  </si>
  <si>
    <r>
      <rPr>
        <b/>
        <sz val="11"/>
        <color theme="1"/>
        <rFont val="Aptos Narrow"/>
        <family val="2"/>
        <scheme val="minor"/>
      </rPr>
      <t>UP2</t>
    </r>
    <r>
      <rPr>
        <sz val="11"/>
        <color theme="1"/>
        <rFont val="Aptos Narrow"/>
        <family val="2"/>
        <scheme val="minor"/>
      </rPr>
      <t xml:space="preserve">
- mapeig de la sintaxi del llenguatge
- creació pàgina login  (HTML + CSS)
- implementació de conversions i assignacions
- mockups projecte</t>
    </r>
  </si>
  <si>
    <r>
      <rPr>
        <b/>
        <sz val="11"/>
        <color theme="1"/>
        <rFont val="Aptos Narrow"/>
        <family val="2"/>
        <scheme val="minor"/>
      </rPr>
      <t>UP3</t>
    </r>
    <r>
      <rPr>
        <sz val="11"/>
        <color theme="1"/>
        <rFont val="Aptos Narrow"/>
        <family val="2"/>
        <scheme val="minor"/>
      </rPr>
      <t xml:space="preserve">
- utilització d'objectes predefinits del llenguatge
- implem. interaccions (Karma)
- generació de text i elements dinàmics</t>
    </r>
  </si>
  <si>
    <r>
      <rPr>
        <b/>
        <sz val="11"/>
        <color theme="1"/>
        <rFont val="Aptos Narrow"/>
        <family val="2"/>
        <scheme val="minor"/>
      </rPr>
      <t>UP3</t>
    </r>
    <r>
      <rPr>
        <sz val="11"/>
        <color theme="1"/>
        <rFont val="Aptos Narrow"/>
        <family val="2"/>
        <scheme val="minor"/>
      </rPr>
      <t xml:space="preserve">
- funcions definides per l'usuari
- arrays en Angular
- implementació de funcions en el projecte</t>
    </r>
  </si>
  <si>
    <t>- Presentacions</t>
  </si>
  <si>
    <r>
      <rPr>
        <b/>
        <sz val="11"/>
        <color theme="1"/>
        <rFont val="Aptos Narrow"/>
        <family val="2"/>
        <scheme val="minor"/>
      </rPr>
      <t>UP4</t>
    </r>
    <r>
      <rPr>
        <sz val="11"/>
        <color theme="1"/>
        <rFont val="Aptos Narrow"/>
        <family val="2"/>
        <scheme val="minor"/>
      </rPr>
      <t xml:space="preserve">
- comunicació asíncrona
- recuperació remota d'informació 
- modificació dinàmica del document</t>
    </r>
  </si>
  <si>
    <r>
      <rPr>
        <b/>
        <sz val="11"/>
        <color theme="1"/>
        <rFont val="Aptos Narrow"/>
        <family val="2"/>
        <scheme val="minor"/>
      </rPr>
      <t>UP4</t>
    </r>
    <r>
      <rPr>
        <sz val="11"/>
        <color theme="1"/>
        <rFont val="Aptos Narrow"/>
        <family val="2"/>
        <scheme val="minor"/>
      </rPr>
      <t xml:space="preserve">
- comunicació asíncrona amb el servidor
- peticions HTTP</t>
    </r>
  </si>
  <si>
    <r>
      <rPr>
        <b/>
        <sz val="11"/>
        <color theme="1"/>
        <rFont val="Aptos Narrow"/>
        <family val="2"/>
        <scheme val="minor"/>
      </rPr>
      <t>UP4</t>
    </r>
    <r>
      <rPr>
        <sz val="11"/>
        <color theme="1"/>
        <rFont val="Aptos Narrow"/>
        <family val="2"/>
        <scheme val="minor"/>
      </rPr>
      <t xml:space="preserve">
- llibreries d'actualització dinàmica</t>
    </r>
  </si>
  <si>
    <r>
      <rPr>
        <b/>
        <sz val="11"/>
        <color theme="1"/>
        <rFont val="Aptos Narrow"/>
        <family val="2"/>
        <scheme val="minor"/>
      </rPr>
      <t>treball Projecte</t>
    </r>
    <r>
      <rPr>
        <sz val="11"/>
        <color theme="1"/>
        <rFont val="Aptos Narrow"/>
        <family val="2"/>
        <scheme val="minor"/>
      </rPr>
      <t xml:space="preserve">
- revisió i depuració del projecte
- implementació dels conceptes ja estudiats</t>
    </r>
  </si>
  <si>
    <r>
      <t xml:space="preserve"> </t>
    </r>
    <r>
      <rPr>
        <b/>
        <sz val="11"/>
        <color theme="1"/>
        <rFont val="Aptos Narrow"/>
        <family val="2"/>
        <scheme val="minor"/>
      </rPr>
      <t xml:space="preserve">SPRINT 2:
</t>
    </r>
    <r>
      <rPr>
        <sz val="11"/>
        <color theme="1"/>
        <rFont val="Aptos Narrow"/>
        <family val="2"/>
        <scheme val="minor"/>
      </rPr>
      <t>- menú principal
- administració bàsica i avançada: grups, alumnes i professors</t>
    </r>
  </si>
  <si>
    <r>
      <rPr>
        <b/>
        <sz val="11"/>
        <color theme="1"/>
        <rFont val="Aptos Narrow"/>
        <family val="2"/>
        <scheme val="minor"/>
      </rPr>
      <t>UP5</t>
    </r>
    <r>
      <rPr>
        <sz val="11"/>
        <color theme="1"/>
        <rFont val="Aptos Narrow"/>
        <family val="2"/>
        <scheme val="minor"/>
      </rPr>
      <t xml:space="preserve">
- autenticació i autorització
- Karma: implementar login + autentificació i autorització</t>
    </r>
  </si>
  <si>
    <r>
      <rPr>
        <b/>
        <sz val="11"/>
        <color theme="1"/>
        <rFont val="Aptos Narrow"/>
        <family val="2"/>
        <scheme val="minor"/>
      </rPr>
      <t>UP5</t>
    </r>
    <r>
      <rPr>
        <sz val="11"/>
        <color theme="1"/>
        <rFont val="Aptos Narrow"/>
        <family val="2"/>
        <scheme val="minor"/>
      </rPr>
      <t xml:space="preserve">
- validació de formularis
- Karma: formulari de registre dels usuaris</t>
    </r>
  </si>
  <si>
    <r>
      <t xml:space="preserve"> </t>
    </r>
    <r>
      <rPr>
        <b/>
        <sz val="11"/>
        <color theme="1"/>
        <rFont val="Aptos Narrow"/>
        <family val="2"/>
        <scheme val="minor"/>
      </rPr>
      <t xml:space="preserve">SPRINT 3:
</t>
    </r>
    <r>
      <rPr>
        <sz val="11"/>
        <color theme="1"/>
        <rFont val="Aptos Narrow"/>
        <family val="2"/>
        <scheme val="minor"/>
      </rPr>
      <t>- validar accés amb el servidor
- configuració de l'accés</t>
    </r>
  </si>
  <si>
    <r>
      <rPr>
        <b/>
        <sz val="11"/>
        <color theme="1"/>
        <rFont val="Aptos Narrow"/>
        <family val="2"/>
        <scheme val="minor"/>
      </rPr>
      <t>UP6</t>
    </r>
    <r>
      <rPr>
        <sz val="11"/>
        <color theme="1"/>
        <rFont val="Aptos Narrow"/>
        <family val="2"/>
        <scheme val="minor"/>
      </rPr>
      <t xml:space="preserve">
- interacció amb l'usuari
- validació amb expressions regulars</t>
    </r>
  </si>
  <si>
    <r>
      <rPr>
        <b/>
        <sz val="11"/>
        <color theme="1"/>
        <rFont val="Aptos Narrow"/>
        <family val="2"/>
        <scheme val="minor"/>
      </rPr>
      <t>UP6</t>
    </r>
    <r>
      <rPr>
        <sz val="11"/>
        <color theme="1"/>
        <rFont val="Aptos Narrow"/>
        <family val="2"/>
        <scheme val="minor"/>
      </rPr>
      <t xml:space="preserve">
- Manipulació del DOM amb Angular</t>
    </r>
  </si>
  <si>
    <r>
      <rPr>
        <b/>
        <sz val="11"/>
        <color theme="1"/>
        <rFont val="Aptos Narrow"/>
        <family val="2"/>
        <scheme val="minor"/>
      </rPr>
      <t>UP6</t>
    </r>
    <r>
      <rPr>
        <sz val="11"/>
        <color theme="1"/>
        <rFont val="Aptos Narrow"/>
        <family val="2"/>
        <scheme val="minor"/>
      </rPr>
      <t xml:space="preserve">
- Utilització del model d'objectes del document (DOM)
- Creació i modificació d'elements HTML dinàmics</t>
    </r>
  </si>
  <si>
    <r>
      <rPr>
        <b/>
        <sz val="11"/>
        <color theme="1"/>
        <rFont val="Aptos Narrow"/>
        <family val="2"/>
        <scheme val="minor"/>
      </rPr>
      <t>UP7a</t>
    </r>
    <r>
      <rPr>
        <sz val="11"/>
        <color theme="1"/>
        <rFont val="Aptos Narrow"/>
        <family val="2"/>
        <scheme val="minor"/>
      </rPr>
      <t xml:space="preserve">
- gestió d'estat en aplicacions Angular
- testing en aplicacions</t>
    </r>
  </si>
  <si>
    <r>
      <t xml:space="preserve"> </t>
    </r>
    <r>
      <rPr>
        <b/>
        <sz val="11"/>
        <color theme="1"/>
        <rFont val="Aptos Narrow"/>
        <family val="2"/>
        <scheme val="minor"/>
      </rPr>
      <t xml:space="preserve">SPRINT 4:
</t>
    </r>
    <r>
      <rPr>
        <sz val="11"/>
        <color theme="1"/>
        <rFont val="Aptos Narrow"/>
        <family val="2"/>
        <scheme val="minor"/>
      </rPr>
      <t>- configuració general
- configuració any escolar
- afegir puntuació</t>
    </r>
  </si>
  <si>
    <r>
      <t xml:space="preserve"> </t>
    </r>
    <r>
      <rPr>
        <b/>
        <sz val="11"/>
        <color theme="1"/>
        <rFont val="Aptos Narrow"/>
        <family val="2"/>
        <scheme val="minor"/>
      </rPr>
      <t xml:space="preserve">SPRINT 5:
</t>
    </r>
    <r>
      <rPr>
        <sz val="11"/>
        <color theme="1"/>
        <rFont val="Aptos Narrow"/>
        <family val="2"/>
        <scheme val="minor"/>
      </rPr>
      <t>- gestió de privilegis
- disseny consultes alumnes i grups</t>
    </r>
  </si>
  <si>
    <r>
      <rPr>
        <b/>
        <sz val="11"/>
        <color theme="1"/>
        <rFont val="Aptos Narrow"/>
        <family val="2"/>
        <scheme val="minor"/>
      </rPr>
      <t>UP7b</t>
    </r>
    <r>
      <rPr>
        <sz val="11"/>
        <color theme="1"/>
        <rFont val="Aptos Narrow"/>
        <family val="2"/>
        <scheme val="minor"/>
      </rPr>
      <t xml:space="preserve">
- Internacionalització i localització en aplicacions Angular</t>
    </r>
  </si>
  <si>
    <r>
      <rPr>
        <b/>
        <sz val="11"/>
        <color theme="1"/>
        <rFont val="Aptos Narrow"/>
        <family val="2"/>
        <scheme val="minor"/>
      </rPr>
      <t>UP7b</t>
    </r>
    <r>
      <rPr>
        <sz val="11"/>
        <color theme="1"/>
        <rFont val="Aptos Narrow"/>
        <family val="2"/>
        <scheme val="minor"/>
      </rPr>
      <t xml:space="preserve">
- Optimització i millora del rendiment en aplicacions Angular</t>
    </r>
  </si>
  <si>
    <t>1-5</t>
  </si>
  <si>
    <t>2-3</t>
  </si>
  <si>
    <t>2-4-5</t>
  </si>
  <si>
    <t>Resultat d’aprenentatge</t>
  </si>
  <si>
    <t>Ponderació</t>
  </si>
  <si>
    <t>e) S'han reconegut les característiques dorientació a objectes del llenguatge.</t>
  </si>
  <si>
    <r>
      <rPr>
        <b/>
        <sz val="11"/>
        <color theme="1"/>
        <rFont val="Aptos Narrow"/>
        <family val="2"/>
        <scheme val="minor"/>
      </rPr>
      <t>treball Projecte</t>
    </r>
    <r>
      <rPr>
        <sz val="11"/>
        <color theme="1"/>
        <rFont val="Aptos Narrow"/>
        <family val="2"/>
        <scheme val="minor"/>
      </rPr>
      <t xml:space="preserve">
- presentacions</t>
    </r>
  </si>
  <si>
    <t>RA1.e</t>
  </si>
  <si>
    <t>RA1.a</t>
  </si>
  <si>
    <t>RA1.b</t>
  </si>
  <si>
    <t>RA1.c</t>
  </si>
  <si>
    <t>RA1.f</t>
  </si>
  <si>
    <t>RA2.a</t>
  </si>
  <si>
    <t>RA2.b</t>
  </si>
  <si>
    <t>RA2.c</t>
  </si>
  <si>
    <t>RA2.e</t>
  </si>
  <si>
    <t>RA2.f</t>
  </si>
  <si>
    <t>RA2.g</t>
  </si>
  <si>
    <t>RA2.h</t>
  </si>
  <si>
    <t>RA3.a</t>
  </si>
  <si>
    <t>RA3.b</t>
  </si>
  <si>
    <t>RA3.c</t>
  </si>
  <si>
    <t>RA3.e</t>
  </si>
  <si>
    <t>RA3.f</t>
  </si>
  <si>
    <t>RA3.g</t>
  </si>
  <si>
    <t>RA3.h</t>
  </si>
  <si>
    <t>RA4.a</t>
  </si>
  <si>
    <t>RA4.b</t>
  </si>
  <si>
    <t>RA4.c</t>
  </si>
  <si>
    <t>RA4.e</t>
  </si>
  <si>
    <t>RA4.f</t>
  </si>
  <si>
    <t>RA4.g</t>
  </si>
  <si>
    <t>RA4.h</t>
  </si>
  <si>
    <t>RA4.i</t>
  </si>
  <si>
    <t>RA5.a</t>
  </si>
  <si>
    <t>RA5.b</t>
  </si>
  <si>
    <t>RA5.c</t>
  </si>
  <si>
    <t>RA5.e</t>
  </si>
  <si>
    <t>RA5.f</t>
  </si>
  <si>
    <t>RA5.g</t>
  </si>
  <si>
    <t>RA5.h</t>
  </si>
  <si>
    <t>RA6.a</t>
  </si>
  <si>
    <t>RA6.b</t>
  </si>
  <si>
    <t>RA6.c</t>
  </si>
  <si>
    <t>RA6.e</t>
  </si>
  <si>
    <t>RA6.f</t>
  </si>
  <si>
    <t>RA6.g</t>
  </si>
  <si>
    <t>RA6.h</t>
  </si>
  <si>
    <t>RA7.a</t>
  </si>
  <si>
    <t>RA7.b</t>
  </si>
  <si>
    <t>RA7.c</t>
  </si>
  <si>
    <t>RA7.e</t>
  </si>
  <si>
    <t>RA7.f</t>
  </si>
  <si>
    <t>RA7.g</t>
  </si>
  <si>
    <t>RA7.h</t>
  </si>
  <si>
    <t>RA7.i</t>
  </si>
  <si>
    <t>1.1</t>
  </si>
  <si>
    <t>2.2</t>
  </si>
  <si>
    <t>3.3</t>
  </si>
  <si>
    <t>1.2</t>
  </si>
  <si>
    <t>RA1.d</t>
  </si>
  <si>
    <t>RA2.d</t>
  </si>
  <si>
    <t>RA3.d</t>
  </si>
  <si>
    <t>RA4.d</t>
  </si>
  <si>
    <t>RA5.d</t>
  </si>
  <si>
    <t>RA6.d</t>
  </si>
  <si>
    <t>RA7.d</t>
  </si>
  <si>
    <t xml:space="preserve">sprint </t>
  </si>
  <si>
    <t>1.3</t>
  </si>
  <si>
    <t>1.4</t>
  </si>
  <si>
    <t>2.1</t>
  </si>
  <si>
    <t>2.3</t>
  </si>
  <si>
    <t>2.4</t>
  </si>
  <si>
    <t>2.5</t>
  </si>
  <si>
    <t>3.1</t>
  </si>
  <si>
    <t>3.2</t>
  </si>
  <si>
    <t>3.4</t>
  </si>
  <si>
    <t>3.5</t>
  </si>
  <si>
    <t>4.1</t>
  </si>
  <si>
    <t>4.2</t>
  </si>
  <si>
    <t>4.3</t>
  </si>
  <si>
    <t>4.4</t>
  </si>
  <si>
    <t>4.5</t>
  </si>
  <si>
    <t>5.1</t>
  </si>
  <si>
    <t>5.2</t>
  </si>
  <si>
    <t>5.3</t>
  </si>
  <si>
    <t>5.4</t>
  </si>
  <si>
    <t>5.5</t>
  </si>
  <si>
    <t>20% sprint 1</t>
  </si>
  <si>
    <t>20% test sprint 1</t>
  </si>
  <si>
    <t>80% sprint 1.4</t>
  </si>
  <si>
    <t>80% sprint 1.1</t>
  </si>
  <si>
    <t>80% sprint 1.2</t>
  </si>
  <si>
    <t>64% sprint 1.1
16% sprint 1.4</t>
  </si>
  <si>
    <t>48% sprint 1.2
32% sprint 1.3</t>
  </si>
  <si>
    <t>40% sprint 1.2
27% sprint 1.3
13% sprint 1.4</t>
  </si>
  <si>
    <t>80% test sprint 1</t>
  </si>
  <si>
    <t>60% 1.2
40% 1.3</t>
  </si>
  <si>
    <t>80%  1.1
20%  1.4</t>
  </si>
  <si>
    <t>100%  1.4</t>
  </si>
  <si>
    <t>50% 1.2
33% 1.3
17% 1.4</t>
  </si>
  <si>
    <t>2.1 30%
2.4 7%
2.5 15%
5.1 25%
5.2 5%
5.4 5%
5.5 13%</t>
  </si>
  <si>
    <t>2.1 25%
2.2 10%
2.5 14%
4.1 25%
4.3 16%
4.4 5%
4.5 5%</t>
  </si>
  <si>
    <t>3.1 15%
3.2 15%
3.5 15%
5.1 25%
5.3 12%
5.4 6%
5.5 12%</t>
  </si>
  <si>
    <t>4.1 44%
4.2 12%
4.3 32%
4.5 12%</t>
  </si>
  <si>
    <t>2.1
2.3
2.5
3.1
3.3
3.4
3.5</t>
  </si>
  <si>
    <t>CALENDARI CURS 2025-2026</t>
  </si>
  <si>
    <t>INICI/FI CURS</t>
  </si>
  <si>
    <t>Dilluns</t>
  </si>
  <si>
    <t>Dimarts</t>
  </si>
  <si>
    <t>Dijous</t>
  </si>
  <si>
    <t>Dies de classe / hores:</t>
  </si>
  <si>
    <t>1/8</t>
  </si>
  <si>
    <t>2ª avaluació</t>
  </si>
  <si>
    <t>(DIMARTS)</t>
  </si>
  <si>
    <t>Presentacions</t>
  </si>
  <si>
    <t>27 de novembre</t>
  </si>
  <si>
    <t>SPRINT 3</t>
  </si>
  <si>
    <t>SPRINT 4</t>
  </si>
  <si>
    <t>AVALUACIÓ 2on trimestre</t>
  </si>
  <si>
    <t>SPRINT 5</t>
  </si>
  <si>
    <t>1ª AV</t>
  </si>
  <si>
    <t>2ª AV</t>
  </si>
  <si>
    <t>- instroducció al mòdul
- explicació projecte Karma
- configuració de l'entorn</t>
  </si>
  <si>
    <t>SPRINTS</t>
  </si>
  <si>
    <r>
      <rPr>
        <b/>
        <sz val="11"/>
        <color theme="1" tint="0.14999847407452621"/>
        <rFont val="Aptos Narrow"/>
        <family val="2"/>
        <scheme val="minor"/>
      </rPr>
      <t>1ª AVALUACIÓ</t>
    </r>
    <r>
      <rPr>
        <b/>
        <sz val="11"/>
        <color theme="1"/>
        <rFont val="Aptos Narrow"/>
        <family val="2"/>
        <scheme val="minor"/>
      </rPr>
      <t xml:space="preserve">
UP5</t>
    </r>
    <r>
      <rPr>
        <sz val="11"/>
        <color theme="1"/>
        <rFont val="Aptos Narrow"/>
        <family val="2"/>
        <scheme val="minor"/>
      </rPr>
      <t xml:space="preserve">
- autenticació i autorització
- Karma: implementar login + autentificació i autorització</t>
    </r>
  </si>
  <si>
    <t>22-des</t>
  </si>
  <si>
    <t>6 hores a la setmana</t>
  </si>
  <si>
    <t>200 hores</t>
  </si>
  <si>
    <r>
      <rPr>
        <b/>
        <sz val="11"/>
        <color theme="1"/>
        <rFont val="Aptos Narrow"/>
        <family val="2"/>
        <scheme val="minor"/>
      </rPr>
      <t>Presentacions del projecte</t>
    </r>
    <r>
      <rPr>
        <sz val="11"/>
        <color theme="1"/>
        <rFont val="Aptos Narrow"/>
        <family val="2"/>
        <scheme val="minor"/>
      </rPr>
      <t xml:space="preserve">
grups: 1, 2, 3, 4</t>
    </r>
  </si>
  <si>
    <r>
      <rPr>
        <b/>
        <sz val="11"/>
        <color theme="1"/>
        <rFont val="Aptos Narrow"/>
        <family val="2"/>
        <scheme val="minor"/>
      </rPr>
      <t>Presentacions del projecte</t>
    </r>
    <r>
      <rPr>
        <sz val="11"/>
        <color theme="1"/>
        <rFont val="Aptos Narrow"/>
        <family val="2"/>
        <scheme val="minor"/>
      </rPr>
      <t xml:space="preserve">
grups: 5, 6, 7,8</t>
    </r>
  </si>
  <si>
    <t>del 23 de febrer</t>
  </si>
  <si>
    <t>formació en empresa</t>
  </si>
  <si>
    <t>3ª avaluació</t>
  </si>
  <si>
    <t>11 de juny</t>
  </si>
  <si>
    <t xml:space="preserve">
2ª avaluació
</t>
  </si>
  <si>
    <t>3ª AV</t>
  </si>
  <si>
    <t xml:space="preserve"> Formació en empresa</t>
  </si>
  <si>
    <t>Formació en empresa</t>
  </si>
  <si>
    <t>19 de febrer fins 22 maig</t>
  </si>
  <si>
    <t>1ª i 2ª avaluació</t>
  </si>
  <si>
    <t>presentació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</si>
</sst>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8" tint="0.39997558519241921"/>
      <name val="Aptos Narrow"/>
      <family val="2"/>
      <scheme val="minor"/>
    </font>
    <font>
      <b/>
      <sz val="11"/>
      <color theme="1"/>
      <name val="Maiandra GD"/>
      <family val="2"/>
    </font>
    <font>
      <sz val="2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8F08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BBDB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5D7ED"/>
        <bgColor indexed="64"/>
      </patternFill>
    </fill>
    <fill>
      <patternFill patternType="solid">
        <fgColor rgb="FFFFD24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19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  <xf numFmtId="16" fontId="0" fillId="9" borderId="0" xfId="0" applyNumberFormat="1" applyFill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2" fillId="9" borderId="8" xfId="0" quotePrefix="1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3" borderId="0" xfId="0" applyFill="1"/>
    <xf numFmtId="0" fontId="0" fillId="0" borderId="11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vertical="top" wrapText="1"/>
    </xf>
    <xf numFmtId="0" fontId="5" fillId="0" borderId="0" xfId="1" applyAlignment="1">
      <alignment horizontal="left" vertical="center"/>
    </xf>
    <xf numFmtId="0" fontId="0" fillId="0" borderId="0" xfId="0" applyAlignment="1">
      <alignment horizontal="left" vertical="top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0" fillId="15" borderId="0" xfId="0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5" xfId="0" applyFont="1" applyBorder="1"/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26" xfId="0" applyFont="1" applyBorder="1"/>
    <xf numFmtId="0" fontId="0" fillId="0" borderId="27" xfId="0" applyBorder="1" applyAlignment="1">
      <alignment horizontal="center" vertical="center"/>
    </xf>
    <xf numFmtId="0" fontId="3" fillId="0" borderId="16" xfId="0" applyFont="1" applyBorder="1"/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/>
    <xf numFmtId="0" fontId="0" fillId="0" borderId="21" xfId="0" applyBorder="1" applyAlignment="1">
      <alignment horizontal="center" vertical="center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4" borderId="0" xfId="0" applyFill="1"/>
    <xf numFmtId="0" fontId="0" fillId="4" borderId="0" xfId="0" quotePrefix="1" applyFill="1" applyAlignment="1">
      <alignment horizontal="right"/>
    </xf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26" xfId="0" applyBorder="1"/>
    <xf numFmtId="0" fontId="6" fillId="0" borderId="28" xfId="0" applyFont="1" applyBorder="1"/>
    <xf numFmtId="0" fontId="7" fillId="0" borderId="22" xfId="0" applyFont="1" applyBorder="1" applyAlignment="1">
      <alignment horizontal="center"/>
    </xf>
    <xf numFmtId="0" fontId="6" fillId="0" borderId="30" xfId="0" applyFont="1" applyBorder="1"/>
    <xf numFmtId="0" fontId="6" fillId="16" borderId="28" xfId="0" applyFont="1" applyFill="1" applyBorder="1"/>
    <xf numFmtId="0" fontId="0" fillId="16" borderId="29" xfId="0" applyFill="1" applyBorder="1"/>
    <xf numFmtId="0" fontId="0" fillId="16" borderId="30" xfId="0" applyFill="1" applyBorder="1"/>
    <xf numFmtId="0" fontId="6" fillId="16" borderId="30" xfId="0" applyFont="1" applyFill="1" applyBorder="1"/>
    <xf numFmtId="0" fontId="0" fillId="16" borderId="29" xfId="0" applyFill="1" applyBorder="1" applyAlignment="1">
      <alignment horizontal="center" vertical="top"/>
    </xf>
    <xf numFmtId="0" fontId="0" fillId="0" borderId="29" xfId="0" quotePrefix="1" applyBorder="1" applyAlignment="1">
      <alignment horizontal="center" vertical="top"/>
    </xf>
    <xf numFmtId="0" fontId="0" fillId="9" borderId="29" xfId="0" quotePrefix="1" applyFill="1" applyBorder="1" applyAlignment="1">
      <alignment horizontal="center" vertical="top" wrapText="1"/>
    </xf>
    <xf numFmtId="0" fontId="0" fillId="10" borderId="29" xfId="0" applyFill="1" applyBorder="1" applyAlignment="1">
      <alignment horizontal="center" vertical="top" wrapText="1"/>
    </xf>
    <xf numFmtId="0" fontId="0" fillId="3" borderId="29" xfId="0" applyFill="1" applyBorder="1" applyAlignment="1">
      <alignment horizontal="center" vertical="top" wrapText="1"/>
    </xf>
    <xf numFmtId="0" fontId="6" fillId="0" borderId="14" xfId="0" applyFont="1" applyBorder="1"/>
    <xf numFmtId="0" fontId="0" fillId="0" borderId="25" xfId="0" applyBorder="1"/>
    <xf numFmtId="0" fontId="6" fillId="0" borderId="15" xfId="0" applyFont="1" applyBorder="1"/>
    <xf numFmtId="0" fontId="0" fillId="18" borderId="29" xfId="0" applyFill="1" applyBorder="1" applyAlignment="1">
      <alignment horizontal="center" vertical="top" wrapText="1"/>
    </xf>
    <xf numFmtId="0" fontId="0" fillId="19" borderId="29" xfId="0" applyFill="1" applyBorder="1" applyAlignment="1">
      <alignment horizontal="center" vertical="top" wrapText="1"/>
    </xf>
    <xf numFmtId="0" fontId="0" fillId="20" borderId="29" xfId="0" applyFill="1" applyBorder="1" applyAlignment="1">
      <alignment horizontal="center" vertical="top" wrapText="1"/>
    </xf>
    <xf numFmtId="0" fontId="0" fillId="21" borderId="30" xfId="0" applyFill="1" applyBorder="1" applyAlignment="1">
      <alignment horizontal="center" vertical="center" wrapText="1"/>
    </xf>
    <xf numFmtId="0" fontId="1" fillId="16" borderId="29" xfId="0" applyFont="1" applyFill="1" applyBorder="1" applyAlignment="1">
      <alignment horizontal="center" vertical="center"/>
    </xf>
    <xf numFmtId="0" fontId="1" fillId="17" borderId="29" xfId="0" applyFont="1" applyFill="1" applyBorder="1" applyAlignment="1">
      <alignment horizontal="center" vertical="center"/>
    </xf>
    <xf numFmtId="0" fontId="0" fillId="0" borderId="29" xfId="0" quotePrefix="1" applyBorder="1" applyAlignment="1">
      <alignment horizontal="center" vertical="top" wrapText="1"/>
    </xf>
    <xf numFmtId="0" fontId="0" fillId="0" borderId="0" xfId="0" applyAlignment="1">
      <alignment horizontal="right"/>
    </xf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1" fillId="22" borderId="0" xfId="0" applyFont="1" applyFill="1" applyAlignment="1">
      <alignment horizontal="center"/>
    </xf>
    <xf numFmtId="0" fontId="0" fillId="22" borderId="0" xfId="0" applyFill="1" applyAlignment="1">
      <alignment horizontal="center"/>
    </xf>
    <xf numFmtId="0" fontId="0" fillId="0" borderId="31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0" fontId="0" fillId="22" borderId="3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31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0" xfId="2" applyFont="1" applyAlignment="1">
      <alignment horizontal="center"/>
    </xf>
    <xf numFmtId="9" fontId="0" fillId="21" borderId="0" xfId="0" applyNumberFormat="1" applyFill="1" applyAlignment="1">
      <alignment horizontal="center"/>
    </xf>
    <xf numFmtId="0" fontId="0" fillId="24" borderId="0" xfId="0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5" borderId="34" xfId="0" quotePrefix="1" applyFill="1" applyBorder="1" applyAlignment="1">
      <alignment horizontal="center" vertical="center" wrapText="1"/>
    </xf>
    <xf numFmtId="0" fontId="0" fillId="5" borderId="32" xfId="0" quotePrefix="1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4" borderId="3" xfId="0" quotePrefix="1" applyFont="1" applyFill="1" applyBorder="1" applyAlignment="1">
      <alignment horizontal="center" vertical="center" wrapText="1"/>
    </xf>
    <xf numFmtId="0" fontId="2" fillId="9" borderId="4" xfId="0" quotePrefix="1" applyFont="1" applyFill="1" applyBorder="1" applyAlignment="1">
      <alignment horizontal="center" vertical="center" wrapText="1"/>
    </xf>
    <xf numFmtId="0" fontId="0" fillId="24" borderId="32" xfId="0" applyFill="1" applyBorder="1" applyAlignment="1">
      <alignment horizontal="center" vertical="center"/>
    </xf>
    <xf numFmtId="0" fontId="0" fillId="24" borderId="33" xfId="0" applyFill="1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4" borderId="7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0" fillId="5" borderId="4" xfId="0" quotePrefix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25" borderId="0" xfId="0" applyFill="1" applyAlignment="1">
      <alignment horizontal="center" vertical="center"/>
    </xf>
    <xf numFmtId="16" fontId="0" fillId="25" borderId="0" xfId="0" applyNumberFormat="1" applyFill="1" applyAlignment="1">
      <alignment horizontal="center" vertical="center"/>
    </xf>
    <xf numFmtId="0" fontId="0" fillId="25" borderId="0" xfId="0" applyFill="1" applyAlignment="1">
      <alignment horizontal="left" vertical="center"/>
    </xf>
    <xf numFmtId="0" fontId="0" fillId="25" borderId="0" xfId="0" applyFill="1" applyAlignment="1">
      <alignment horizontal="right" vertical="center"/>
    </xf>
    <xf numFmtId="0" fontId="3" fillId="24" borderId="0" xfId="0" applyFont="1" applyFill="1"/>
    <xf numFmtId="16" fontId="0" fillId="24" borderId="0" xfId="0" applyNumberFormat="1" applyFill="1" applyAlignment="1">
      <alignment horizontal="center" vertical="center"/>
    </xf>
    <xf numFmtId="0" fontId="0" fillId="26" borderId="29" xfId="0" quotePrefix="1" applyFill="1" applyBorder="1" applyAlignment="1">
      <alignment horizontal="center" vertical="top" wrapText="1"/>
    </xf>
    <xf numFmtId="0" fontId="0" fillId="25" borderId="5" xfId="0" applyFill="1" applyBorder="1" applyAlignment="1">
      <alignment horizontal="center" vertical="center"/>
    </xf>
    <xf numFmtId="0" fontId="0" fillId="25" borderId="0" xfId="0" applyFill="1" applyAlignment="1">
      <alignment vertical="center"/>
    </xf>
    <xf numFmtId="0" fontId="0" fillId="25" borderId="41" xfId="0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0" fillId="25" borderId="35" xfId="0" applyFill="1" applyBorder="1" applyAlignment="1">
      <alignment horizontal="center" vertical="center"/>
    </xf>
    <xf numFmtId="0" fontId="12" fillId="11" borderId="29" xfId="0" applyFont="1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top" wrapText="1"/>
    </xf>
    <xf numFmtId="0" fontId="6" fillId="24" borderId="28" xfId="0" applyFont="1" applyFill="1" applyBorder="1"/>
    <xf numFmtId="0" fontId="0" fillId="24" borderId="29" xfId="0" applyFill="1" applyBorder="1" applyAlignment="1">
      <alignment horizontal="center" vertical="top" wrapText="1"/>
    </xf>
    <xf numFmtId="0" fontId="0" fillId="24" borderId="29" xfId="0" applyFill="1" applyBorder="1"/>
    <xf numFmtId="0" fontId="0" fillId="15" borderId="29" xfId="0" applyFill="1" applyBorder="1" applyAlignment="1">
      <alignment horizontal="center" vertical="top" wrapText="1"/>
    </xf>
    <xf numFmtId="0" fontId="6" fillId="24" borderId="0" xfId="0" applyFont="1" applyFill="1"/>
    <xf numFmtId="0" fontId="0" fillId="24" borderId="0" xfId="0" applyFill="1"/>
    <xf numFmtId="0" fontId="1" fillId="24" borderId="0" xfId="0" applyFont="1" applyFill="1" applyAlignment="1">
      <alignment horizontal="center"/>
    </xf>
    <xf numFmtId="0" fontId="0" fillId="24" borderId="30" xfId="0" applyFill="1" applyBorder="1" applyAlignment="1">
      <alignment horizontal="center" vertical="top"/>
    </xf>
    <xf numFmtId="0" fontId="0" fillId="24" borderId="39" xfId="0" applyFill="1" applyBorder="1" applyAlignment="1">
      <alignment horizontal="center" vertical="center"/>
    </xf>
    <xf numFmtId="0" fontId="0" fillId="24" borderId="35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11" borderId="29" xfId="0" applyFont="1" applyFill="1" applyBorder="1" applyAlignment="1">
      <alignment horizontal="center" vertical="center" wrapText="1"/>
    </xf>
    <xf numFmtId="0" fontId="8" fillId="17" borderId="14" xfId="0" applyFont="1" applyFill="1" applyBorder="1" applyAlignment="1">
      <alignment horizontal="center" vertical="center"/>
    </xf>
    <xf numFmtId="0" fontId="8" fillId="17" borderId="15" xfId="0" applyFont="1" applyFill="1" applyBorder="1" applyAlignment="1">
      <alignment horizontal="center" vertical="center"/>
    </xf>
    <xf numFmtId="0" fontId="8" fillId="17" borderId="16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3">
    <cellStyle name="Enllaç" xfId="1" builtinId="8"/>
    <cellStyle name="Normal" xfId="0" builtinId="0"/>
    <cellStyle name="Percentatge" xfId="2" builtinId="5"/>
  </cellStyles>
  <dxfs count="0"/>
  <tableStyles count="0" defaultTableStyle="TableStyleMedium2" defaultPivotStyle="PivotStyleLight16"/>
  <colors>
    <mruColors>
      <color rgb="FFFFD243"/>
      <color rgb="FFD5D7ED"/>
      <color rgb="FFFBBD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xjcaxx.github.io/libro_dwec/typescript.html" TargetMode="External"/><Relationship Id="rId2" Type="http://schemas.openxmlformats.org/officeDocument/2006/relationships/hyperlink" Target="https://xxjcaxx.github.io/libro_dwec/lenguajejavascript.html" TargetMode="External"/><Relationship Id="rId1" Type="http://schemas.openxmlformats.org/officeDocument/2006/relationships/hyperlink" Target="https://xxjcaxx.github.io/libro_dwec/desarrollofrontend.html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C308-031E-4A97-963E-C2F19CE2E1C5}">
  <dimension ref="A1:AP182"/>
  <sheetViews>
    <sheetView tabSelected="1" zoomScale="98" zoomScaleNormal="98" workbookViewId="0">
      <selection activeCell="E27" sqref="E27"/>
    </sheetView>
  </sheetViews>
  <sheetFormatPr defaultColWidth="8.88671875" defaultRowHeight="14.4" x14ac:dyDescent="0.3"/>
  <cols>
    <col min="1" max="1" width="8.88671875" style="110"/>
    <col min="2" max="8" width="4.6640625" style="1" customWidth="1"/>
    <col min="9" max="9" width="2.6640625" style="1" customWidth="1"/>
    <col min="10" max="16" width="4.6640625" style="1" customWidth="1"/>
    <col min="17" max="17" width="2.6640625" style="1" customWidth="1"/>
    <col min="18" max="24" width="4.6640625" style="1" customWidth="1"/>
    <col min="25" max="25" width="2.6640625" style="1" customWidth="1"/>
    <col min="26" max="32" width="4.6640625" style="1" customWidth="1"/>
    <col min="33" max="34" width="8.88671875" style="1"/>
    <col min="35" max="35" width="7.88671875" style="1" customWidth="1"/>
    <col min="36" max="16384" width="8.88671875" style="1"/>
  </cols>
  <sheetData>
    <row r="1" spans="1:35" s="110" customFormat="1" ht="15" thickBot="1" x14ac:dyDescent="0.35"/>
    <row r="2" spans="1:35" ht="36.6" customHeight="1" thickBot="1" x14ac:dyDescent="0.35">
      <c r="B2" s="180" t="s">
        <v>414</v>
      </c>
      <c r="C2" s="181"/>
      <c r="D2" s="181"/>
      <c r="E2" s="181"/>
      <c r="F2" s="181"/>
      <c r="G2" s="181"/>
      <c r="H2" s="181"/>
      <c r="I2" s="182"/>
      <c r="J2" s="181"/>
      <c r="K2" s="181"/>
      <c r="L2" s="181"/>
      <c r="M2" s="181"/>
      <c r="N2" s="181"/>
      <c r="O2" s="181"/>
      <c r="P2" s="181"/>
      <c r="Q2" s="182"/>
      <c r="R2" s="181"/>
      <c r="S2" s="181"/>
      <c r="T2" s="181"/>
      <c r="U2" s="181"/>
      <c r="V2" s="181"/>
      <c r="W2" s="181"/>
      <c r="X2" s="181"/>
      <c r="Y2" s="182"/>
      <c r="Z2" s="181"/>
      <c r="AA2" s="181"/>
      <c r="AB2" s="181"/>
      <c r="AC2" s="181"/>
      <c r="AD2" s="181"/>
      <c r="AE2" s="181"/>
      <c r="AF2" s="183"/>
      <c r="AH2" s="16" t="s">
        <v>435</v>
      </c>
    </row>
    <row r="3" spans="1:35" s="2" customFormat="1" ht="22.2" customHeight="1" thickBot="1" x14ac:dyDescent="0.35">
      <c r="A3" s="111"/>
      <c r="B3" s="184" t="s">
        <v>0</v>
      </c>
      <c r="C3" s="185"/>
      <c r="D3" s="185"/>
      <c r="E3" s="185"/>
      <c r="F3" s="185"/>
      <c r="G3" s="185"/>
      <c r="H3" s="186"/>
      <c r="J3" s="184" t="s">
        <v>1</v>
      </c>
      <c r="K3" s="185"/>
      <c r="L3" s="185"/>
      <c r="M3" s="185"/>
      <c r="N3" s="185"/>
      <c r="O3" s="185"/>
      <c r="P3" s="186"/>
      <c r="R3" s="184" t="s">
        <v>2</v>
      </c>
      <c r="S3" s="185"/>
      <c r="T3" s="185"/>
      <c r="U3" s="185"/>
      <c r="V3" s="185"/>
      <c r="W3" s="185"/>
      <c r="X3" s="186"/>
      <c r="Z3" s="184" t="s">
        <v>3</v>
      </c>
      <c r="AA3" s="185"/>
      <c r="AB3" s="185"/>
      <c r="AC3" s="185"/>
      <c r="AD3" s="185"/>
      <c r="AE3" s="185"/>
      <c r="AF3" s="186"/>
      <c r="AH3" s="2" t="s">
        <v>436</v>
      </c>
    </row>
    <row r="4" spans="1:35" ht="22.2" customHeight="1" thickBot="1" x14ac:dyDescent="0.35">
      <c r="B4" s="138">
        <f>H3+1</f>
        <v>1</v>
      </c>
      <c r="C4" s="33">
        <f t="shared" ref="C4:C7" si="0">B4+1</f>
        <v>2</v>
      </c>
      <c r="D4" s="33">
        <f t="shared" ref="D4:D6" si="1">C4+1</f>
        <v>3</v>
      </c>
      <c r="E4" s="33">
        <f t="shared" ref="E4:E6" si="2">D4+1</f>
        <v>4</v>
      </c>
      <c r="F4" s="33">
        <f t="shared" ref="F4:F6" si="3">E4+1</f>
        <v>5</v>
      </c>
      <c r="G4" s="34">
        <f t="shared" ref="G4:G6" si="4">F4+1</f>
        <v>6</v>
      </c>
      <c r="H4" s="35">
        <f t="shared" ref="H4:H6" si="5">G4+1</f>
        <v>7</v>
      </c>
      <c r="J4" s="28"/>
      <c r="K4" s="8"/>
      <c r="L4" s="8">
        <f t="shared" ref="L4:P7" si="6">K4+1</f>
        <v>1</v>
      </c>
      <c r="M4" s="8">
        <f t="shared" si="6"/>
        <v>2</v>
      </c>
      <c r="N4" s="8">
        <f t="shared" si="6"/>
        <v>3</v>
      </c>
      <c r="O4" s="29">
        <f t="shared" si="6"/>
        <v>4</v>
      </c>
      <c r="P4" s="30">
        <f t="shared" si="6"/>
        <v>5</v>
      </c>
      <c r="R4" s="32"/>
      <c r="S4" s="33"/>
      <c r="T4" s="33"/>
      <c r="U4" s="33"/>
      <c r="V4" s="33"/>
      <c r="W4" s="34">
        <f t="shared" ref="W4:X7" si="7">V4+1</f>
        <v>1</v>
      </c>
      <c r="X4" s="35">
        <f t="shared" si="7"/>
        <v>2</v>
      </c>
      <c r="Z4" s="32">
        <f>AF3+1</f>
        <v>1</v>
      </c>
      <c r="AA4" s="33">
        <f t="shared" ref="AA4:AA6" si="8">Z4+1</f>
        <v>2</v>
      </c>
      <c r="AB4" s="33">
        <f t="shared" ref="AB4:AB6" si="9">AA4+1</f>
        <v>3</v>
      </c>
      <c r="AC4" s="33">
        <f t="shared" ref="AC4:AC6" si="10">AB4+1</f>
        <v>4</v>
      </c>
      <c r="AD4" s="33">
        <f t="shared" ref="AD4:AD6" si="11">AC4+1</f>
        <v>5</v>
      </c>
      <c r="AE4" s="34">
        <f t="shared" ref="AE4:AE6" si="12">AD4+1</f>
        <v>6</v>
      </c>
      <c r="AF4" s="35">
        <f t="shared" ref="AF4:AF6" si="13">AE4+1</f>
        <v>7</v>
      </c>
      <c r="AH4" s="114" t="s">
        <v>419</v>
      </c>
      <c r="AI4" s="2"/>
    </row>
    <row r="5" spans="1:35" ht="22.2" customHeight="1" thickBot="1" x14ac:dyDescent="0.35">
      <c r="B5" s="139">
        <f>H4+1</f>
        <v>8</v>
      </c>
      <c r="C5" s="134">
        <f t="shared" si="0"/>
        <v>9</v>
      </c>
      <c r="D5" s="4">
        <f t="shared" si="1"/>
        <v>10</v>
      </c>
      <c r="E5" s="4">
        <f t="shared" si="2"/>
        <v>11</v>
      </c>
      <c r="F5" s="4">
        <f t="shared" si="3"/>
        <v>12</v>
      </c>
      <c r="G5" s="5">
        <f t="shared" si="4"/>
        <v>13</v>
      </c>
      <c r="H5" s="6">
        <f t="shared" si="5"/>
        <v>14</v>
      </c>
      <c r="J5" s="15">
        <f>P4+1</f>
        <v>6</v>
      </c>
      <c r="K5" s="150">
        <f>J5+1</f>
        <v>7</v>
      </c>
      <c r="L5" s="131">
        <f>K5+1</f>
        <v>8</v>
      </c>
      <c r="M5" s="7">
        <f t="shared" si="6"/>
        <v>9</v>
      </c>
      <c r="N5" s="15">
        <f t="shared" si="6"/>
        <v>10</v>
      </c>
      <c r="O5" s="5">
        <f t="shared" si="6"/>
        <v>11</v>
      </c>
      <c r="P5" s="6">
        <f t="shared" si="6"/>
        <v>12</v>
      </c>
      <c r="R5" s="3">
        <f>X4+1</f>
        <v>3</v>
      </c>
      <c r="S5" s="4">
        <f t="shared" ref="S5:V8" si="14">R5+1</f>
        <v>4</v>
      </c>
      <c r="T5" s="4">
        <f t="shared" si="14"/>
        <v>5</v>
      </c>
      <c r="U5" s="4">
        <f t="shared" si="14"/>
        <v>6</v>
      </c>
      <c r="V5" s="4">
        <f t="shared" si="14"/>
        <v>7</v>
      </c>
      <c r="W5" s="5">
        <f t="shared" si="7"/>
        <v>8</v>
      </c>
      <c r="X5" s="6">
        <f t="shared" si="7"/>
        <v>9</v>
      </c>
      <c r="Z5" s="132">
        <f>AF4+1</f>
        <v>8</v>
      </c>
      <c r="AA5" s="150">
        <f t="shared" si="8"/>
        <v>9</v>
      </c>
      <c r="AB5" s="4">
        <f t="shared" si="9"/>
        <v>10</v>
      </c>
      <c r="AC5" s="4">
        <f t="shared" si="10"/>
        <v>11</v>
      </c>
      <c r="AD5" s="4">
        <f t="shared" si="11"/>
        <v>12</v>
      </c>
      <c r="AE5" s="5">
        <f t="shared" si="12"/>
        <v>13</v>
      </c>
      <c r="AF5" s="6">
        <f t="shared" si="13"/>
        <v>14</v>
      </c>
      <c r="AH5" s="113" t="s">
        <v>416</v>
      </c>
      <c r="AI5" s="1">
        <v>2</v>
      </c>
    </row>
    <row r="6" spans="1:35" ht="22.2" customHeight="1" x14ac:dyDescent="0.3">
      <c r="B6" s="28">
        <f>H5+1</f>
        <v>15</v>
      </c>
      <c r="C6" s="4">
        <f t="shared" si="0"/>
        <v>16</v>
      </c>
      <c r="D6" s="4">
        <f t="shared" si="1"/>
        <v>17</v>
      </c>
      <c r="E6" s="4">
        <f t="shared" si="2"/>
        <v>18</v>
      </c>
      <c r="F6" s="4">
        <f t="shared" si="3"/>
        <v>19</v>
      </c>
      <c r="G6" s="5">
        <f t="shared" si="4"/>
        <v>20</v>
      </c>
      <c r="H6" s="6">
        <f t="shared" si="5"/>
        <v>21</v>
      </c>
      <c r="J6" s="3">
        <f>P5+1</f>
        <v>13</v>
      </c>
      <c r="K6" s="4">
        <f>J6+1</f>
        <v>14</v>
      </c>
      <c r="L6" s="4">
        <f t="shared" si="6"/>
        <v>15</v>
      </c>
      <c r="M6" s="4">
        <f t="shared" si="6"/>
        <v>16</v>
      </c>
      <c r="N6" s="4">
        <f t="shared" si="6"/>
        <v>17</v>
      </c>
      <c r="O6" s="5">
        <f t="shared" si="6"/>
        <v>18</v>
      </c>
      <c r="P6" s="6">
        <f t="shared" si="6"/>
        <v>19</v>
      </c>
      <c r="R6" s="3">
        <f>X5+1</f>
        <v>10</v>
      </c>
      <c r="S6" s="4">
        <f t="shared" si="14"/>
        <v>11</v>
      </c>
      <c r="T6" s="4">
        <f t="shared" si="14"/>
        <v>12</v>
      </c>
      <c r="U6" s="4">
        <f t="shared" si="14"/>
        <v>13</v>
      </c>
      <c r="V6" s="4">
        <f t="shared" si="14"/>
        <v>14</v>
      </c>
      <c r="W6" s="5">
        <f t="shared" si="7"/>
        <v>15</v>
      </c>
      <c r="X6" s="6">
        <f t="shared" si="7"/>
        <v>16</v>
      </c>
      <c r="Z6" s="28">
        <f>AF5+1</f>
        <v>15</v>
      </c>
      <c r="AA6" s="4">
        <f t="shared" si="8"/>
        <v>16</v>
      </c>
      <c r="AB6" s="4">
        <f t="shared" si="9"/>
        <v>17</v>
      </c>
      <c r="AC6" s="4">
        <f t="shared" si="10"/>
        <v>18</v>
      </c>
      <c r="AD6" s="4">
        <f t="shared" si="11"/>
        <v>19</v>
      </c>
      <c r="AE6" s="5">
        <f t="shared" si="12"/>
        <v>20</v>
      </c>
      <c r="AF6" s="6">
        <f t="shared" si="13"/>
        <v>21</v>
      </c>
      <c r="AH6" s="113" t="s">
        <v>417</v>
      </c>
      <c r="AI6" s="1">
        <v>2</v>
      </c>
    </row>
    <row r="7" spans="1:35" ht="22.2" customHeight="1" thickBot="1" x14ac:dyDescent="0.35">
      <c r="B7" s="3">
        <f>H6+1</f>
        <v>22</v>
      </c>
      <c r="C7" s="4">
        <f t="shared" si="0"/>
        <v>23</v>
      </c>
      <c r="D7" s="4">
        <f>C7+1</f>
        <v>24</v>
      </c>
      <c r="E7" s="4">
        <f>D7+1</f>
        <v>25</v>
      </c>
      <c r="F7" s="4">
        <f>E7+1</f>
        <v>26</v>
      </c>
      <c r="G7" s="5">
        <f>F7+1</f>
        <v>27</v>
      </c>
      <c r="H7" s="6">
        <f>G7+1</f>
        <v>28</v>
      </c>
      <c r="J7" s="3">
        <f>P6+1</f>
        <v>20</v>
      </c>
      <c r="K7" s="4">
        <f>J7+1</f>
        <v>21</v>
      </c>
      <c r="L7" s="4">
        <f t="shared" si="6"/>
        <v>22</v>
      </c>
      <c r="M7" s="4">
        <f t="shared" si="6"/>
        <v>23</v>
      </c>
      <c r="N7" s="4">
        <f t="shared" si="6"/>
        <v>24</v>
      </c>
      <c r="O7" s="5">
        <f t="shared" si="6"/>
        <v>25</v>
      </c>
      <c r="P7" s="6">
        <f t="shared" si="6"/>
        <v>26</v>
      </c>
      <c r="R7" s="3">
        <f>X6+1</f>
        <v>17</v>
      </c>
      <c r="S7" s="135">
        <f t="shared" si="14"/>
        <v>18</v>
      </c>
      <c r="T7" s="4">
        <f t="shared" si="14"/>
        <v>19</v>
      </c>
      <c r="U7" s="4">
        <f t="shared" si="14"/>
        <v>20</v>
      </c>
      <c r="V7" s="4">
        <f t="shared" si="14"/>
        <v>21</v>
      </c>
      <c r="W7" s="5">
        <f t="shared" si="7"/>
        <v>22</v>
      </c>
      <c r="X7" s="6">
        <f t="shared" si="7"/>
        <v>23</v>
      </c>
      <c r="Z7" s="3">
        <f>AF6+1</f>
        <v>22</v>
      </c>
      <c r="AA7" s="7">
        <f t="shared" ref="AA7:AF7" si="15">Z7+1</f>
        <v>23</v>
      </c>
      <c r="AB7" s="7">
        <f t="shared" si="15"/>
        <v>24</v>
      </c>
      <c r="AC7" s="7">
        <f t="shared" si="15"/>
        <v>25</v>
      </c>
      <c r="AD7" s="7">
        <f t="shared" si="15"/>
        <v>26</v>
      </c>
      <c r="AE7" s="5">
        <f t="shared" si="15"/>
        <v>27</v>
      </c>
      <c r="AF7" s="6">
        <f t="shared" si="15"/>
        <v>28</v>
      </c>
      <c r="AH7" s="113" t="s">
        <v>418</v>
      </c>
      <c r="AI7" s="1">
        <v>2</v>
      </c>
    </row>
    <row r="8" spans="1:35" ht="22.2" customHeight="1" thickBot="1" x14ac:dyDescent="0.35">
      <c r="B8" s="13">
        <f>H7+1</f>
        <v>29</v>
      </c>
      <c r="C8" s="10">
        <f>H7+2</f>
        <v>30</v>
      </c>
      <c r="D8" s="112"/>
      <c r="E8" s="112"/>
      <c r="F8" s="112"/>
      <c r="G8" s="123"/>
      <c r="H8" s="124"/>
      <c r="J8" s="13">
        <f>P7+1</f>
        <v>27</v>
      </c>
      <c r="K8" s="10">
        <f>J8+1</f>
        <v>28</v>
      </c>
      <c r="L8" s="10">
        <f>K8+1</f>
        <v>29</v>
      </c>
      <c r="M8" s="10">
        <f>L8+1</f>
        <v>30</v>
      </c>
      <c r="N8" s="10">
        <f>M8+1</f>
        <v>31</v>
      </c>
      <c r="O8" s="125"/>
      <c r="P8" s="126"/>
      <c r="R8" s="152">
        <f>X7+1</f>
        <v>24</v>
      </c>
      <c r="S8" s="10">
        <f>R8+1</f>
        <v>25</v>
      </c>
      <c r="T8" s="137">
        <f t="shared" si="14"/>
        <v>26</v>
      </c>
      <c r="U8" s="136">
        <f t="shared" si="14"/>
        <v>27</v>
      </c>
      <c r="V8" s="10">
        <f t="shared" si="14"/>
        <v>28</v>
      </c>
      <c r="W8" s="11">
        <f>V8+1</f>
        <v>29</v>
      </c>
      <c r="X8" s="12">
        <f>W8+1</f>
        <v>30</v>
      </c>
      <c r="Z8" s="115">
        <f>AF7+1</f>
        <v>29</v>
      </c>
      <c r="AA8" s="116">
        <f>Z8+1</f>
        <v>30</v>
      </c>
      <c r="AB8" s="117">
        <f>AF7+3</f>
        <v>31</v>
      </c>
      <c r="AC8" s="112"/>
      <c r="AD8" s="112"/>
      <c r="AE8" s="123"/>
      <c r="AF8" s="124"/>
    </row>
    <row r="9" spans="1:35" ht="22.2" customHeight="1" thickBot="1" x14ac:dyDescent="0.35"/>
    <row r="10" spans="1:35" s="2" customFormat="1" ht="22.2" customHeight="1" thickBot="1" x14ac:dyDescent="0.35">
      <c r="A10" s="111"/>
      <c r="B10" s="184" t="s">
        <v>4</v>
      </c>
      <c r="C10" s="185"/>
      <c r="D10" s="185"/>
      <c r="E10" s="185"/>
      <c r="F10" s="185"/>
      <c r="G10" s="185"/>
      <c r="H10" s="186"/>
      <c r="J10" s="184" t="s">
        <v>5</v>
      </c>
      <c r="K10" s="185"/>
      <c r="L10" s="185"/>
      <c r="M10" s="185"/>
      <c r="N10" s="185"/>
      <c r="O10" s="185"/>
      <c r="P10" s="186"/>
      <c r="R10" s="187" t="s">
        <v>6</v>
      </c>
      <c r="S10" s="188"/>
      <c r="T10" s="188"/>
      <c r="U10" s="188"/>
      <c r="V10" s="188"/>
      <c r="W10" s="188"/>
      <c r="X10" s="189"/>
      <c r="Z10" s="184" t="s">
        <v>7</v>
      </c>
      <c r="AA10" s="185"/>
      <c r="AB10" s="185"/>
      <c r="AC10" s="185"/>
      <c r="AD10" s="185"/>
      <c r="AE10" s="185"/>
      <c r="AF10" s="186"/>
    </row>
    <row r="11" spans="1:35" ht="22.2" customHeight="1" x14ac:dyDescent="0.3">
      <c r="B11" s="28"/>
      <c r="C11" s="8"/>
      <c r="D11" s="8"/>
      <c r="E11" s="31">
        <f t="shared" ref="E11:H14" si="16">D11+1</f>
        <v>1</v>
      </c>
      <c r="F11" s="31">
        <f t="shared" si="16"/>
        <v>2</v>
      </c>
      <c r="G11" s="29">
        <f t="shared" si="16"/>
        <v>3</v>
      </c>
      <c r="H11" s="30">
        <f t="shared" si="16"/>
        <v>4</v>
      </c>
      <c r="J11" s="28"/>
      <c r="K11" s="8"/>
      <c r="L11" s="8"/>
      <c r="M11" s="8"/>
      <c r="N11" s="8"/>
      <c r="O11" s="29"/>
      <c r="P11" s="30">
        <f t="shared" ref="O11:P14" si="17">O11+1</f>
        <v>1</v>
      </c>
      <c r="R11" s="119">
        <v>2</v>
      </c>
      <c r="S11" s="120">
        <f t="shared" ref="S11:S13" si="18">R11+1</f>
        <v>3</v>
      </c>
      <c r="T11" s="120">
        <f t="shared" ref="T11:U13" si="19">S11+1</f>
        <v>4</v>
      </c>
      <c r="U11" s="120">
        <f t="shared" ref="U11:U12" si="20">T11+1</f>
        <v>5</v>
      </c>
      <c r="V11" s="120">
        <f t="shared" ref="V11:V13" si="21">U11+1</f>
        <v>6</v>
      </c>
      <c r="W11" s="34">
        <f t="shared" ref="W11:W14" si="22">V11+1</f>
        <v>7</v>
      </c>
      <c r="X11" s="121" t="s">
        <v>420</v>
      </c>
      <c r="Z11" s="28"/>
      <c r="AA11" s="127"/>
      <c r="AB11" s="36">
        <f t="shared" ref="AB11:AF14" si="23">AA11+1</f>
        <v>1</v>
      </c>
      <c r="AC11" s="7">
        <f>AB11+1</f>
        <v>2</v>
      </c>
      <c r="AD11" s="7">
        <f t="shared" si="23"/>
        <v>3</v>
      </c>
      <c r="AE11" s="29">
        <f t="shared" si="23"/>
        <v>4</v>
      </c>
      <c r="AF11" s="30">
        <f t="shared" si="23"/>
        <v>5</v>
      </c>
    </row>
    <row r="12" spans="1:35" ht="22.2" customHeight="1" x14ac:dyDescent="0.3">
      <c r="B12" s="14">
        <f>H11+1</f>
        <v>5</v>
      </c>
      <c r="C12" s="31">
        <f>B12+1</f>
        <v>6</v>
      </c>
      <c r="D12" s="4">
        <f t="shared" ref="C12:D15" si="24">C12+1</f>
        <v>7</v>
      </c>
      <c r="E12" s="4">
        <f t="shared" si="16"/>
        <v>8</v>
      </c>
      <c r="F12" s="4">
        <f t="shared" si="16"/>
        <v>9</v>
      </c>
      <c r="G12" s="5">
        <f t="shared" si="16"/>
        <v>10</v>
      </c>
      <c r="H12" s="6">
        <f t="shared" si="16"/>
        <v>11</v>
      </c>
      <c r="J12" s="3">
        <f>P11+1</f>
        <v>2</v>
      </c>
      <c r="K12" s="4">
        <f t="shared" ref="K12:N15" si="25">J12+1</f>
        <v>3</v>
      </c>
      <c r="L12" s="4">
        <f t="shared" si="25"/>
        <v>4</v>
      </c>
      <c r="M12" s="4">
        <f t="shared" si="25"/>
        <v>5</v>
      </c>
      <c r="N12" s="4">
        <f t="shared" si="25"/>
        <v>6</v>
      </c>
      <c r="O12" s="5">
        <f t="shared" si="17"/>
        <v>7</v>
      </c>
      <c r="P12" s="6">
        <f t="shared" si="17"/>
        <v>8</v>
      </c>
      <c r="R12" s="21">
        <v>9</v>
      </c>
      <c r="S12" s="22">
        <f t="shared" si="18"/>
        <v>10</v>
      </c>
      <c r="T12" s="22">
        <f t="shared" si="19"/>
        <v>11</v>
      </c>
      <c r="U12" s="22">
        <f t="shared" si="20"/>
        <v>12</v>
      </c>
      <c r="V12" s="22">
        <f t="shared" si="21"/>
        <v>13</v>
      </c>
      <c r="W12" s="5">
        <f t="shared" si="22"/>
        <v>14</v>
      </c>
      <c r="X12" s="6">
        <f t="shared" ref="X12:X14" si="26">W12+1</f>
        <v>15</v>
      </c>
      <c r="Z12" s="7">
        <f>AF11+1</f>
        <v>6</v>
      </c>
      <c r="AA12" s="7">
        <f>Z12+1</f>
        <v>7</v>
      </c>
      <c r="AB12" s="7">
        <f t="shared" si="23"/>
        <v>8</v>
      </c>
      <c r="AC12" s="7">
        <f t="shared" si="23"/>
        <v>9</v>
      </c>
      <c r="AD12" s="7">
        <f t="shared" si="23"/>
        <v>10</v>
      </c>
      <c r="AE12" s="5">
        <f t="shared" si="23"/>
        <v>11</v>
      </c>
      <c r="AF12" s="6">
        <f t="shared" si="23"/>
        <v>12</v>
      </c>
    </row>
    <row r="13" spans="1:35" ht="22.2" customHeight="1" thickBot="1" x14ac:dyDescent="0.35">
      <c r="B13" s="3">
        <f>H12+1</f>
        <v>12</v>
      </c>
      <c r="C13" s="4">
        <f t="shared" si="24"/>
        <v>13</v>
      </c>
      <c r="D13" s="4">
        <f t="shared" si="24"/>
        <v>14</v>
      </c>
      <c r="E13" s="4">
        <f t="shared" si="16"/>
        <v>15</v>
      </c>
      <c r="F13" s="4">
        <f t="shared" si="16"/>
        <v>16</v>
      </c>
      <c r="G13" s="5">
        <f t="shared" si="16"/>
        <v>17</v>
      </c>
      <c r="H13" s="6">
        <f t="shared" si="16"/>
        <v>18</v>
      </c>
      <c r="J13" s="3">
        <f>P12+1</f>
        <v>9</v>
      </c>
      <c r="K13" s="4">
        <f t="shared" si="25"/>
        <v>10</v>
      </c>
      <c r="L13" s="4">
        <f t="shared" si="25"/>
        <v>11</v>
      </c>
      <c r="M13" s="154">
        <f t="shared" si="25"/>
        <v>12</v>
      </c>
      <c r="N13" s="4">
        <f t="shared" si="25"/>
        <v>13</v>
      </c>
      <c r="O13" s="5">
        <f t="shared" si="17"/>
        <v>14</v>
      </c>
      <c r="P13" s="6">
        <f t="shared" si="17"/>
        <v>15</v>
      </c>
      <c r="R13" s="22">
        <v>16</v>
      </c>
      <c r="S13" s="15">
        <f t="shared" si="18"/>
        <v>17</v>
      </c>
      <c r="T13" s="128">
        <f t="shared" si="19"/>
        <v>18</v>
      </c>
      <c r="U13" s="7">
        <f t="shared" si="19"/>
        <v>19</v>
      </c>
      <c r="V13" s="22">
        <f t="shared" si="21"/>
        <v>20</v>
      </c>
      <c r="W13" s="5">
        <f t="shared" si="22"/>
        <v>21</v>
      </c>
      <c r="X13" s="6">
        <f t="shared" si="26"/>
        <v>22</v>
      </c>
      <c r="Z13" s="7">
        <f>AF12+1</f>
        <v>13</v>
      </c>
      <c r="AA13" s="22">
        <f>Z13+1</f>
        <v>14</v>
      </c>
      <c r="AB13" s="22">
        <f t="shared" si="23"/>
        <v>15</v>
      </c>
      <c r="AC13" s="22">
        <f t="shared" si="23"/>
        <v>16</v>
      </c>
      <c r="AD13" s="22">
        <f t="shared" si="23"/>
        <v>17</v>
      </c>
      <c r="AE13" s="5">
        <f t="shared" si="23"/>
        <v>18</v>
      </c>
      <c r="AF13" s="6">
        <f t="shared" si="23"/>
        <v>19</v>
      </c>
    </row>
    <row r="14" spans="1:35" ht="22.2" customHeight="1" thickBot="1" x14ac:dyDescent="0.35">
      <c r="B14" s="3">
        <f>H13+1</f>
        <v>19</v>
      </c>
      <c r="C14" s="4">
        <f t="shared" si="24"/>
        <v>20</v>
      </c>
      <c r="D14" s="4">
        <f t="shared" si="24"/>
        <v>21</v>
      </c>
      <c r="E14" s="4">
        <f t="shared" si="16"/>
        <v>22</v>
      </c>
      <c r="F14" s="4">
        <f t="shared" si="16"/>
        <v>23</v>
      </c>
      <c r="G14" s="5">
        <f t="shared" si="16"/>
        <v>24</v>
      </c>
      <c r="H14" s="6">
        <f t="shared" si="16"/>
        <v>25</v>
      </c>
      <c r="J14" s="3">
        <f>P13+1</f>
        <v>16</v>
      </c>
      <c r="K14" s="4">
        <f t="shared" si="25"/>
        <v>17</v>
      </c>
      <c r="L14" s="133">
        <f t="shared" si="25"/>
        <v>18</v>
      </c>
      <c r="M14" s="136">
        <f t="shared" si="25"/>
        <v>19</v>
      </c>
      <c r="N14" s="134">
        <f t="shared" si="25"/>
        <v>20</v>
      </c>
      <c r="O14" s="5">
        <f t="shared" si="17"/>
        <v>21</v>
      </c>
      <c r="P14" s="6">
        <f t="shared" si="17"/>
        <v>22</v>
      </c>
      <c r="R14" s="122">
        <v>22</v>
      </c>
      <c r="S14" s="22">
        <f>X13+2</f>
        <v>24</v>
      </c>
      <c r="T14" s="22">
        <f>S14+1</f>
        <v>25</v>
      </c>
      <c r="U14" s="22">
        <f>T14+1</f>
        <v>26</v>
      </c>
      <c r="V14" s="22">
        <f>U14+1</f>
        <v>27</v>
      </c>
      <c r="W14" s="5">
        <f t="shared" si="22"/>
        <v>28</v>
      </c>
      <c r="X14" s="6">
        <f t="shared" si="26"/>
        <v>29</v>
      </c>
      <c r="Z14" s="21">
        <f>AF13+1</f>
        <v>20</v>
      </c>
      <c r="AA14" s="22">
        <f>Z14+1</f>
        <v>21</v>
      </c>
      <c r="AB14" s="22">
        <f t="shared" si="23"/>
        <v>22</v>
      </c>
      <c r="AC14" s="22">
        <f t="shared" si="23"/>
        <v>23</v>
      </c>
      <c r="AD14" s="22">
        <f t="shared" si="23"/>
        <v>24</v>
      </c>
      <c r="AE14" s="5">
        <f t="shared" si="23"/>
        <v>25</v>
      </c>
      <c r="AF14" s="6">
        <f t="shared" si="23"/>
        <v>26</v>
      </c>
    </row>
    <row r="15" spans="1:35" ht="22.2" customHeight="1" thickBot="1" x14ac:dyDescent="0.35">
      <c r="B15" s="153">
        <f>H14+1</f>
        <v>26</v>
      </c>
      <c r="C15" s="10">
        <f t="shared" si="24"/>
        <v>27</v>
      </c>
      <c r="D15" s="10">
        <f t="shared" si="24"/>
        <v>28</v>
      </c>
      <c r="E15" s="10">
        <f>D15+1</f>
        <v>29</v>
      </c>
      <c r="F15" s="10">
        <f>E15+1</f>
        <v>30</v>
      </c>
      <c r="G15" s="11">
        <v>31</v>
      </c>
      <c r="H15" s="126"/>
      <c r="J15" s="169">
        <f>P14+1</f>
        <v>23</v>
      </c>
      <c r="K15" s="20">
        <f>J15+1</f>
        <v>24</v>
      </c>
      <c r="L15" s="20">
        <f t="shared" si="25"/>
        <v>25</v>
      </c>
      <c r="M15" s="118">
        <f t="shared" si="25"/>
        <v>26</v>
      </c>
      <c r="N15" s="20">
        <f t="shared" si="25"/>
        <v>27</v>
      </c>
      <c r="O15" s="11">
        <v>28</v>
      </c>
      <c r="P15" s="126"/>
      <c r="R15" s="23">
        <v>29</v>
      </c>
      <c r="S15" s="20">
        <v>30</v>
      </c>
      <c r="T15" s="20">
        <v>31</v>
      </c>
      <c r="U15" s="20"/>
      <c r="V15" s="20"/>
      <c r="W15" s="11"/>
      <c r="X15" s="12"/>
      <c r="Z15" s="24">
        <f>AF14+1</f>
        <v>27</v>
      </c>
      <c r="AA15" s="20">
        <f>Z15+1</f>
        <v>28</v>
      </c>
      <c r="AB15" s="20">
        <f>AA15+1</f>
        <v>29</v>
      </c>
      <c r="AC15" s="20">
        <v>30</v>
      </c>
      <c r="AD15" s="10"/>
      <c r="AE15" s="125"/>
      <c r="AF15" s="126"/>
    </row>
    <row r="16" spans="1:35" ht="22.2" customHeight="1" thickBot="1" x14ac:dyDescent="0.35"/>
    <row r="17" spans="1:42" s="2" customFormat="1" ht="22.2" customHeight="1" thickBot="1" x14ac:dyDescent="0.35">
      <c r="A17" s="111"/>
      <c r="B17" s="184" t="s">
        <v>8</v>
      </c>
      <c r="C17" s="185"/>
      <c r="D17" s="185"/>
      <c r="E17" s="185"/>
      <c r="F17" s="185"/>
      <c r="G17" s="185"/>
      <c r="H17" s="186"/>
      <c r="J17" s="187" t="s">
        <v>9</v>
      </c>
      <c r="K17" s="188"/>
      <c r="L17" s="188"/>
      <c r="M17" s="188"/>
      <c r="N17" s="188"/>
      <c r="O17" s="188"/>
      <c r="P17" s="189"/>
      <c r="Y17" s="1"/>
      <c r="Z17" s="1"/>
      <c r="AA17" s="190" t="s">
        <v>10</v>
      </c>
      <c r="AB17" s="190"/>
      <c r="AC17" s="190"/>
      <c r="AD17" s="1"/>
      <c r="AE17" s="1"/>
      <c r="AF17" s="1"/>
    </row>
    <row r="18" spans="1:42" ht="15.6" customHeight="1" thickBot="1" x14ac:dyDescent="0.35">
      <c r="B18" s="32"/>
      <c r="C18" s="33"/>
      <c r="D18" s="33"/>
      <c r="E18" s="33"/>
      <c r="F18" s="129">
        <v>1</v>
      </c>
      <c r="G18" s="34">
        <f t="shared" ref="F18:H21" si="27">F18+1</f>
        <v>2</v>
      </c>
      <c r="H18" s="35">
        <f t="shared" si="27"/>
        <v>3</v>
      </c>
      <c r="J18" s="167">
        <f>P17+1</f>
        <v>1</v>
      </c>
      <c r="K18" s="168">
        <f t="shared" ref="K18:K20" si="28">J18+1</f>
        <v>2</v>
      </c>
      <c r="L18" s="168">
        <f t="shared" ref="L18:L20" si="29">K18+1</f>
        <v>3</v>
      </c>
      <c r="M18" s="168">
        <f t="shared" ref="M18:M20" si="30">L18+1</f>
        <v>4</v>
      </c>
      <c r="N18" s="168">
        <f t="shared" ref="N18:N21" si="31">M18+1</f>
        <v>5</v>
      </c>
      <c r="O18" s="34">
        <f t="shared" ref="O18:O21" si="32">N18+1</f>
        <v>6</v>
      </c>
      <c r="P18" s="35">
        <f t="shared" ref="P18:P21" si="33">O18+1</f>
        <v>7</v>
      </c>
      <c r="R18" s="192" t="s">
        <v>12</v>
      </c>
      <c r="S18" s="192"/>
      <c r="T18" s="192"/>
      <c r="U18" s="16" t="s">
        <v>13</v>
      </c>
      <c r="AA18" s="191" t="s">
        <v>11</v>
      </c>
      <c r="AB18" s="191"/>
      <c r="AG18" s="143" t="s">
        <v>14</v>
      </c>
      <c r="AH18" s="144">
        <v>45908</v>
      </c>
      <c r="AI18" s="143">
        <v>2</v>
      </c>
      <c r="AJ18" s="145" t="s">
        <v>423</v>
      </c>
      <c r="AK18" s="143"/>
      <c r="AL18" s="143"/>
      <c r="AM18" s="143"/>
      <c r="AN18" s="143"/>
      <c r="AO18" s="143"/>
      <c r="AP18" s="143"/>
    </row>
    <row r="19" spans="1:42" ht="20.399999999999999" customHeight="1" thickBot="1" x14ac:dyDescent="0.35">
      <c r="B19" s="21">
        <f>H18+1</f>
        <v>4</v>
      </c>
      <c r="C19" s="22">
        <f t="shared" ref="C19:E22" si="34">B19+1</f>
        <v>5</v>
      </c>
      <c r="D19" s="22">
        <f t="shared" si="34"/>
        <v>6</v>
      </c>
      <c r="E19" s="22">
        <f t="shared" si="34"/>
        <v>7</v>
      </c>
      <c r="F19" s="22">
        <f t="shared" si="27"/>
        <v>8</v>
      </c>
      <c r="G19" s="5">
        <f t="shared" si="27"/>
        <v>9</v>
      </c>
      <c r="H19" s="6">
        <f t="shared" si="27"/>
        <v>10</v>
      </c>
      <c r="J19" s="130">
        <f>P18+1</f>
        <v>8</v>
      </c>
      <c r="K19" s="131">
        <f t="shared" si="28"/>
        <v>9</v>
      </c>
      <c r="L19" s="131">
        <f t="shared" si="29"/>
        <v>10</v>
      </c>
      <c r="M19" s="136">
        <f t="shared" si="30"/>
        <v>11</v>
      </c>
      <c r="N19" s="166">
        <f t="shared" si="31"/>
        <v>12</v>
      </c>
      <c r="O19" s="5">
        <f t="shared" si="32"/>
        <v>13</v>
      </c>
      <c r="P19" s="6">
        <f t="shared" si="33"/>
        <v>14</v>
      </c>
      <c r="R19" s="177" t="s">
        <v>15</v>
      </c>
      <c r="S19" s="177"/>
      <c r="T19" s="177"/>
      <c r="U19" s="16" t="s">
        <v>424</v>
      </c>
      <c r="AA19" s="193" t="s">
        <v>415</v>
      </c>
      <c r="AB19" s="192"/>
      <c r="AC19" s="192"/>
      <c r="AG19" s="18" t="s">
        <v>16</v>
      </c>
      <c r="AH19" s="19">
        <f>AH18+1</f>
        <v>45909</v>
      </c>
      <c r="AI19" s="18">
        <v>2</v>
      </c>
      <c r="AJ19" s="16" t="s">
        <v>423</v>
      </c>
    </row>
    <row r="20" spans="1:42" ht="19.8" customHeight="1" thickBot="1" x14ac:dyDescent="0.35">
      <c r="B20" s="21">
        <f>H19+1</f>
        <v>11</v>
      </c>
      <c r="C20" s="22">
        <f t="shared" si="34"/>
        <v>12</v>
      </c>
      <c r="D20" s="22">
        <f t="shared" si="34"/>
        <v>13</v>
      </c>
      <c r="E20" s="22">
        <f t="shared" si="34"/>
        <v>14</v>
      </c>
      <c r="F20" s="22">
        <f t="shared" si="27"/>
        <v>15</v>
      </c>
      <c r="G20" s="5">
        <f t="shared" si="27"/>
        <v>16</v>
      </c>
      <c r="H20" s="6">
        <f t="shared" si="27"/>
        <v>17</v>
      </c>
      <c r="J20" s="130">
        <f>P19+1</f>
        <v>15</v>
      </c>
      <c r="K20" s="131">
        <f t="shared" si="28"/>
        <v>16</v>
      </c>
      <c r="L20" s="131">
        <f t="shared" si="29"/>
        <v>17</v>
      </c>
      <c r="M20" s="165">
        <f t="shared" si="30"/>
        <v>18</v>
      </c>
      <c r="N20" s="141">
        <f t="shared" si="31"/>
        <v>19</v>
      </c>
      <c r="O20" s="140">
        <f t="shared" si="32"/>
        <v>20</v>
      </c>
      <c r="P20" s="6">
        <f t="shared" si="33"/>
        <v>21</v>
      </c>
      <c r="R20" s="177" t="s">
        <v>421</v>
      </c>
      <c r="S20" s="177"/>
      <c r="T20" s="177"/>
      <c r="U20" s="16" t="s">
        <v>447</v>
      </c>
      <c r="AA20" s="151" t="s">
        <v>432</v>
      </c>
      <c r="AB20" s="151"/>
      <c r="AC20" s="151"/>
      <c r="AG20" s="18" t="s">
        <v>17</v>
      </c>
      <c r="AH20" s="19">
        <v>45911</v>
      </c>
      <c r="AI20" s="41">
        <v>2</v>
      </c>
      <c r="AJ20" s="25" t="s">
        <v>18</v>
      </c>
    </row>
    <row r="21" spans="1:42" ht="22.2" customHeight="1" x14ac:dyDescent="0.3">
      <c r="B21" s="21">
        <f>H20+1</f>
        <v>18</v>
      </c>
      <c r="C21" s="22">
        <f t="shared" si="34"/>
        <v>19</v>
      </c>
      <c r="D21" s="22">
        <f t="shared" si="34"/>
        <v>20</v>
      </c>
      <c r="E21" s="22">
        <f t="shared" si="34"/>
        <v>21</v>
      </c>
      <c r="F21" s="22">
        <f t="shared" si="27"/>
        <v>22</v>
      </c>
      <c r="G21" s="5">
        <f t="shared" si="27"/>
        <v>23</v>
      </c>
      <c r="H21" s="6">
        <f t="shared" si="27"/>
        <v>24</v>
      </c>
      <c r="J21" s="130">
        <v>22</v>
      </c>
      <c r="K21" s="4">
        <f>P20+2</f>
        <v>23</v>
      </c>
      <c r="L21" s="4">
        <f>K21+1</f>
        <v>24</v>
      </c>
      <c r="M21" s="4">
        <f>L21+1</f>
        <v>25</v>
      </c>
      <c r="N21" s="8">
        <f t="shared" si="31"/>
        <v>26</v>
      </c>
      <c r="O21" s="5">
        <f t="shared" si="32"/>
        <v>27</v>
      </c>
      <c r="P21" s="6">
        <f t="shared" si="33"/>
        <v>28</v>
      </c>
      <c r="R21" s="177" t="s">
        <v>441</v>
      </c>
      <c r="S21" s="177"/>
      <c r="T21" s="177"/>
      <c r="U21" s="16" t="s">
        <v>442</v>
      </c>
      <c r="AG21" s="18" t="s">
        <v>20</v>
      </c>
      <c r="AH21" s="19">
        <v>45912</v>
      </c>
      <c r="AI21" s="41">
        <v>0</v>
      </c>
    </row>
    <row r="22" spans="1:42" ht="22.2" customHeight="1" thickBot="1" x14ac:dyDescent="0.35">
      <c r="B22" s="194">
        <f>H21+1</f>
        <v>25</v>
      </c>
      <c r="C22" s="195">
        <f t="shared" si="34"/>
        <v>26</v>
      </c>
      <c r="D22" s="195">
        <f t="shared" si="34"/>
        <v>27</v>
      </c>
      <c r="E22" s="195">
        <f t="shared" si="34"/>
        <v>28</v>
      </c>
      <c r="F22" s="195">
        <f>E22+1</f>
        <v>29</v>
      </c>
      <c r="G22" s="11">
        <f>F22+1</f>
        <v>30</v>
      </c>
      <c r="H22" s="12"/>
      <c r="J22" s="9">
        <v>29</v>
      </c>
      <c r="K22" s="10">
        <v>30</v>
      </c>
      <c r="L22" s="10"/>
      <c r="M22" s="10"/>
      <c r="N22" s="10"/>
      <c r="O22" s="11"/>
      <c r="P22" s="12"/>
      <c r="R22" s="178" t="s">
        <v>19</v>
      </c>
      <c r="S22" s="178"/>
      <c r="T22" s="178"/>
      <c r="U22" s="16" t="s">
        <v>439</v>
      </c>
      <c r="AG22" s="18" t="s">
        <v>14</v>
      </c>
      <c r="AH22" s="19">
        <v>45915</v>
      </c>
      <c r="AI22" s="41">
        <v>2</v>
      </c>
    </row>
    <row r="23" spans="1:42" x14ac:dyDescent="0.3">
      <c r="AA23" s="1" t="s">
        <v>429</v>
      </c>
      <c r="AB23" s="1" t="s">
        <v>430</v>
      </c>
      <c r="AC23" s="1" t="s">
        <v>444</v>
      </c>
      <c r="AG23" s="18" t="s">
        <v>16</v>
      </c>
      <c r="AH23" s="19">
        <v>45916</v>
      </c>
      <c r="AI23" s="41">
        <v>2</v>
      </c>
    </row>
    <row r="24" spans="1:42" ht="15" thickBot="1" x14ac:dyDescent="0.35">
      <c r="B24" s="1" t="s">
        <v>259</v>
      </c>
      <c r="D24" s="1" t="s">
        <v>239</v>
      </c>
      <c r="AA24" s="41">
        <v>10</v>
      </c>
      <c r="AB24" s="41">
        <v>12</v>
      </c>
      <c r="AC24" s="1">
        <v>70</v>
      </c>
      <c r="AG24" s="18" t="s">
        <v>17</v>
      </c>
      <c r="AH24" s="19">
        <v>45918</v>
      </c>
      <c r="AI24" s="41">
        <v>2</v>
      </c>
    </row>
    <row r="25" spans="1:42" ht="15.6" x14ac:dyDescent="0.3">
      <c r="B25" s="48">
        <v>1</v>
      </c>
      <c r="C25" s="49"/>
      <c r="D25" s="49">
        <v>10</v>
      </c>
      <c r="E25" s="50" t="s">
        <v>18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51"/>
      <c r="AA25" s="1">
        <v>12</v>
      </c>
      <c r="AB25" s="1">
        <v>10</v>
      </c>
      <c r="AC25" s="1">
        <v>12</v>
      </c>
      <c r="AG25" s="18" t="s">
        <v>20</v>
      </c>
      <c r="AH25" s="19">
        <v>45919</v>
      </c>
      <c r="AI25" s="41">
        <v>0</v>
      </c>
    </row>
    <row r="26" spans="1:42" ht="15.6" x14ac:dyDescent="0.3">
      <c r="B26" s="52"/>
      <c r="D26" s="1">
        <v>12</v>
      </c>
      <c r="E26" s="25" t="s">
        <v>240</v>
      </c>
      <c r="R26" s="53"/>
      <c r="AA26" s="1">
        <v>12</v>
      </c>
      <c r="AB26" s="1">
        <v>16</v>
      </c>
      <c r="AG26" s="18" t="s">
        <v>14</v>
      </c>
      <c r="AH26" s="19">
        <v>45922</v>
      </c>
      <c r="AI26" s="41">
        <v>2</v>
      </c>
    </row>
    <row r="27" spans="1:42" ht="16.2" thickBot="1" x14ac:dyDescent="0.35">
      <c r="B27" s="54"/>
      <c r="C27" s="55"/>
      <c r="D27" s="55">
        <v>0</v>
      </c>
      <c r="E27" s="56" t="s">
        <v>252</v>
      </c>
      <c r="F27" s="55"/>
      <c r="G27" s="55"/>
      <c r="H27" s="179">
        <v>45937</v>
      </c>
      <c r="I27" s="179"/>
      <c r="J27" s="179"/>
      <c r="K27" s="142" t="s">
        <v>422</v>
      </c>
      <c r="L27" s="55"/>
      <c r="M27" s="55"/>
      <c r="N27" s="55"/>
      <c r="O27" s="55"/>
      <c r="P27" s="55"/>
      <c r="Q27" s="55"/>
      <c r="R27" s="57"/>
      <c r="AA27" s="1">
        <v>12</v>
      </c>
      <c r="AB27" s="1">
        <v>16</v>
      </c>
      <c r="AG27" s="18" t="s">
        <v>16</v>
      </c>
      <c r="AH27" s="19">
        <v>45923</v>
      </c>
      <c r="AI27" s="42">
        <v>2</v>
      </c>
      <c r="AJ27" s="25" t="s">
        <v>21</v>
      </c>
    </row>
    <row r="28" spans="1:42" ht="15.6" x14ac:dyDescent="0.3">
      <c r="B28" s="48">
        <v>2</v>
      </c>
      <c r="C28" s="49"/>
      <c r="D28" s="49">
        <v>12</v>
      </c>
      <c r="E28" s="50" t="s">
        <v>246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51"/>
      <c r="AA28" s="1">
        <v>14</v>
      </c>
      <c r="AB28" s="1">
        <v>4</v>
      </c>
      <c r="AG28" s="18" t="s">
        <v>17</v>
      </c>
      <c r="AH28" s="19">
        <v>45925</v>
      </c>
      <c r="AI28" s="42">
        <v>2</v>
      </c>
      <c r="AJ28" s="25"/>
    </row>
    <row r="29" spans="1:42" ht="15.6" x14ac:dyDescent="0.3">
      <c r="B29" s="52"/>
      <c r="D29" s="1">
        <v>12</v>
      </c>
      <c r="E29" s="25" t="s">
        <v>248</v>
      </c>
      <c r="R29" s="53"/>
      <c r="AA29" s="1">
        <f>SUM(AA24:AA28)</f>
        <v>60</v>
      </c>
      <c r="AB29" s="1">
        <f>SUM(AB24:AB28)</f>
        <v>58</v>
      </c>
      <c r="AC29" s="1">
        <f>SUM(AC24:AC28)</f>
        <v>82</v>
      </c>
      <c r="AD29" s="1">
        <f>SUM(AA29:AC29)</f>
        <v>200</v>
      </c>
      <c r="AG29" s="18" t="s">
        <v>20</v>
      </c>
      <c r="AH29" s="19">
        <v>45926</v>
      </c>
      <c r="AI29" s="42">
        <v>0</v>
      </c>
    </row>
    <row r="30" spans="1:42" ht="15.6" x14ac:dyDescent="0.3">
      <c r="B30" s="52"/>
      <c r="D30" s="1">
        <v>14</v>
      </c>
      <c r="E30" s="25" t="s">
        <v>253</v>
      </c>
      <c r="R30" s="53"/>
      <c r="AG30" s="18" t="s">
        <v>14</v>
      </c>
      <c r="AH30" s="19">
        <v>45929</v>
      </c>
      <c r="AI30" s="42">
        <v>2</v>
      </c>
    </row>
    <row r="31" spans="1:42" ht="16.2" thickBot="1" x14ac:dyDescent="0.35">
      <c r="B31" s="54"/>
      <c r="C31" s="55"/>
      <c r="D31" s="55">
        <v>0</v>
      </c>
      <c r="E31" s="56" t="s">
        <v>254</v>
      </c>
      <c r="F31" s="55"/>
      <c r="G31" s="55"/>
      <c r="H31" s="179">
        <v>45985</v>
      </c>
      <c r="I31" s="179"/>
      <c r="J31" s="179"/>
      <c r="K31" s="55"/>
      <c r="L31" s="55"/>
      <c r="M31" s="55"/>
      <c r="N31" s="55"/>
      <c r="O31" s="55"/>
      <c r="P31" s="55"/>
      <c r="Q31" s="55"/>
      <c r="R31" s="57"/>
      <c r="AG31" s="18" t="s">
        <v>16</v>
      </c>
      <c r="AH31" s="19">
        <v>45960</v>
      </c>
      <c r="AI31" s="42">
        <v>2</v>
      </c>
    </row>
    <row r="32" spans="1:42" ht="15.6" x14ac:dyDescent="0.3">
      <c r="B32" s="48">
        <v>3</v>
      </c>
      <c r="C32" s="49"/>
      <c r="D32" s="49">
        <v>12</v>
      </c>
      <c r="E32" s="50" t="s">
        <v>247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58"/>
      <c r="AG32" s="18" t="s">
        <v>17</v>
      </c>
      <c r="AH32" s="19">
        <v>45932</v>
      </c>
      <c r="AI32" s="42">
        <v>2</v>
      </c>
    </row>
    <row r="33" spans="2:37" ht="16.2" thickBot="1" x14ac:dyDescent="0.35">
      <c r="B33" s="54"/>
      <c r="C33" s="55"/>
      <c r="D33" s="55">
        <v>0</v>
      </c>
      <c r="E33" s="56" t="s">
        <v>255</v>
      </c>
      <c r="F33" s="55"/>
      <c r="G33" s="55"/>
      <c r="H33" s="179">
        <v>46000</v>
      </c>
      <c r="I33" s="179"/>
      <c r="J33" s="179"/>
      <c r="K33" s="55"/>
      <c r="L33" s="55"/>
      <c r="M33" s="55"/>
      <c r="N33" s="55"/>
      <c r="O33" s="55"/>
      <c r="P33" s="55"/>
      <c r="Q33" s="55"/>
      <c r="R33" s="57"/>
      <c r="AG33" s="18" t="s">
        <v>20</v>
      </c>
      <c r="AH33" s="19">
        <v>45933</v>
      </c>
      <c r="AI33" s="42">
        <v>0</v>
      </c>
    </row>
    <row r="34" spans="2:37" ht="15.6" x14ac:dyDescent="0.3">
      <c r="B34" s="48">
        <v>4</v>
      </c>
      <c r="C34" s="49"/>
      <c r="D34" s="49">
        <v>10</v>
      </c>
      <c r="E34" s="50" t="s">
        <v>249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1"/>
      <c r="AG34" s="18" t="s">
        <v>14</v>
      </c>
      <c r="AH34" s="19">
        <v>45936</v>
      </c>
      <c r="AI34" s="45">
        <v>0</v>
      </c>
    </row>
    <row r="35" spans="2:37" ht="15.6" x14ac:dyDescent="0.3">
      <c r="B35" s="52"/>
      <c r="D35" s="1">
        <v>16</v>
      </c>
      <c r="E35" s="25" t="s">
        <v>250</v>
      </c>
      <c r="R35" s="53"/>
      <c r="AG35" s="18" t="s">
        <v>16</v>
      </c>
      <c r="AH35" s="19">
        <v>45937</v>
      </c>
      <c r="AI35" s="42">
        <v>2</v>
      </c>
      <c r="AJ35" s="1" t="s">
        <v>235</v>
      </c>
    </row>
    <row r="36" spans="2:37" ht="16.2" thickBot="1" x14ac:dyDescent="0.35">
      <c r="B36" s="54"/>
      <c r="C36" s="55"/>
      <c r="D36" s="55">
        <v>0</v>
      </c>
      <c r="E36" s="56" t="s">
        <v>256</v>
      </c>
      <c r="F36" s="55"/>
      <c r="G36" s="55"/>
      <c r="H36" s="179">
        <v>45684</v>
      </c>
      <c r="I36" s="179"/>
      <c r="J36" s="179"/>
      <c r="K36" s="55"/>
      <c r="L36" s="55"/>
      <c r="M36" s="55"/>
      <c r="N36" s="55"/>
      <c r="O36" s="55"/>
      <c r="P36" s="55"/>
      <c r="Q36" s="55"/>
      <c r="R36" s="57"/>
    </row>
    <row r="37" spans="2:37" ht="14.4" customHeight="1" x14ac:dyDescent="0.3">
      <c r="B37" s="48">
        <v>5</v>
      </c>
      <c r="C37" s="49"/>
      <c r="D37" s="49">
        <v>16</v>
      </c>
      <c r="E37" s="50" t="s">
        <v>250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51"/>
      <c r="AG37" s="18" t="s">
        <v>14</v>
      </c>
      <c r="AH37" s="19">
        <v>45943</v>
      </c>
      <c r="AI37" s="47">
        <v>2</v>
      </c>
      <c r="AJ37" s="25" t="s">
        <v>246</v>
      </c>
    </row>
    <row r="38" spans="2:37" ht="16.2" thickBot="1" x14ac:dyDescent="0.35">
      <c r="B38" s="54"/>
      <c r="C38" s="55"/>
      <c r="D38" s="55">
        <v>0</v>
      </c>
      <c r="E38" s="56" t="s">
        <v>257</v>
      </c>
      <c r="F38" s="55"/>
      <c r="G38" s="55"/>
      <c r="H38" s="179">
        <v>45700</v>
      </c>
      <c r="I38" s="179"/>
      <c r="J38" s="179"/>
      <c r="K38" s="55"/>
      <c r="L38" s="55"/>
      <c r="M38" s="55"/>
      <c r="N38" s="55"/>
      <c r="O38" s="55"/>
      <c r="P38" s="55"/>
      <c r="Q38" s="55"/>
      <c r="R38" s="57"/>
      <c r="AG38" s="18" t="s">
        <v>16</v>
      </c>
      <c r="AH38" s="19">
        <v>46309</v>
      </c>
      <c r="AI38" s="47">
        <v>2</v>
      </c>
      <c r="AK38" s="1">
        <v>14</v>
      </c>
    </row>
    <row r="39" spans="2:37" ht="16.2" thickBot="1" x14ac:dyDescent="0.35">
      <c r="B39" s="59"/>
      <c r="C39" s="60"/>
      <c r="D39" s="60">
        <v>4</v>
      </c>
      <c r="E39" s="61" t="s">
        <v>251</v>
      </c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2"/>
      <c r="AG39" s="18" t="s">
        <v>17</v>
      </c>
      <c r="AH39" s="19">
        <v>46311</v>
      </c>
      <c r="AI39" s="47">
        <v>2</v>
      </c>
    </row>
    <row r="40" spans="2:37" x14ac:dyDescent="0.3">
      <c r="B40" s="196"/>
      <c r="C40" s="196"/>
      <c r="D40" s="196">
        <v>4</v>
      </c>
      <c r="E40" s="170" t="s">
        <v>449</v>
      </c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AG40" s="18"/>
      <c r="AH40" s="19"/>
      <c r="AI40" s="47"/>
    </row>
    <row r="41" spans="2:37" x14ac:dyDescent="0.3">
      <c r="D41" s="1">
        <f>SUM(D25:D39)</f>
        <v>118</v>
      </c>
      <c r="E41" s="170" t="s">
        <v>448</v>
      </c>
      <c r="AG41" s="18" t="s">
        <v>20</v>
      </c>
      <c r="AH41" s="19">
        <v>46312</v>
      </c>
      <c r="AI41" s="47">
        <v>0</v>
      </c>
    </row>
    <row r="42" spans="2:37" x14ac:dyDescent="0.3">
      <c r="D42" s="1">
        <v>62</v>
      </c>
      <c r="E42" s="170" t="s">
        <v>440</v>
      </c>
      <c r="AG42" s="18" t="s">
        <v>14</v>
      </c>
      <c r="AH42" s="19">
        <v>46315</v>
      </c>
      <c r="AI42" s="47">
        <v>2</v>
      </c>
    </row>
    <row r="43" spans="2:37" x14ac:dyDescent="0.3">
      <c r="D43" s="1">
        <v>16</v>
      </c>
      <c r="E43" s="16" t="s">
        <v>441</v>
      </c>
      <c r="M43" s="39" t="s">
        <v>233</v>
      </c>
      <c r="AG43" s="18" t="s">
        <v>16</v>
      </c>
      <c r="AH43" s="19">
        <v>46316</v>
      </c>
      <c r="AI43" s="47">
        <v>2</v>
      </c>
    </row>
    <row r="44" spans="2:37" x14ac:dyDescent="0.3">
      <c r="AG44" s="18" t="s">
        <v>17</v>
      </c>
      <c r="AH44" s="19">
        <v>46318</v>
      </c>
      <c r="AI44" s="47">
        <v>2</v>
      </c>
    </row>
    <row r="45" spans="2:37" x14ac:dyDescent="0.3">
      <c r="M45" s="39" t="s">
        <v>234</v>
      </c>
      <c r="AG45" s="18" t="s">
        <v>20</v>
      </c>
      <c r="AH45" s="19">
        <v>46319</v>
      </c>
      <c r="AI45" s="47">
        <v>0</v>
      </c>
    </row>
    <row r="46" spans="2:37" ht="15.6" x14ac:dyDescent="0.3">
      <c r="M46" s="39" t="s">
        <v>238</v>
      </c>
      <c r="AG46" s="18" t="s">
        <v>14</v>
      </c>
      <c r="AH46" s="19">
        <v>45957</v>
      </c>
      <c r="AI46" s="44">
        <v>2</v>
      </c>
      <c r="AJ46" s="25" t="s">
        <v>248</v>
      </c>
    </row>
    <row r="47" spans="2:37" x14ac:dyDescent="0.3">
      <c r="AG47" s="18" t="s">
        <v>16</v>
      </c>
      <c r="AH47" s="19">
        <v>46323</v>
      </c>
      <c r="AI47" s="44">
        <v>2</v>
      </c>
    </row>
    <row r="48" spans="2:37" x14ac:dyDescent="0.3">
      <c r="C48" s="40"/>
      <c r="D48" s="40"/>
      <c r="AG48" s="18" t="s">
        <v>17</v>
      </c>
      <c r="AH48" s="19">
        <v>46325</v>
      </c>
      <c r="AI48" s="44">
        <v>2</v>
      </c>
    </row>
    <row r="49" spans="3:41" x14ac:dyDescent="0.3">
      <c r="C49" s="40"/>
      <c r="D49" s="40"/>
      <c r="AG49" s="18" t="s">
        <v>20</v>
      </c>
      <c r="AH49" s="19">
        <f>AH48+1</f>
        <v>46326</v>
      </c>
      <c r="AI49" s="44">
        <v>0</v>
      </c>
    </row>
    <row r="50" spans="3:41" ht="15.6" x14ac:dyDescent="0.3">
      <c r="C50" s="40"/>
      <c r="D50" s="40"/>
      <c r="AG50" s="18" t="s">
        <v>14</v>
      </c>
      <c r="AH50" s="19">
        <v>46329</v>
      </c>
      <c r="AI50" s="44">
        <v>2</v>
      </c>
      <c r="AJ50" s="25"/>
    </row>
    <row r="51" spans="3:41" x14ac:dyDescent="0.3">
      <c r="C51" s="40"/>
      <c r="D51" s="40"/>
      <c r="AG51" s="18" t="s">
        <v>16</v>
      </c>
      <c r="AH51" s="19">
        <v>45965</v>
      </c>
      <c r="AI51" s="44">
        <v>2</v>
      </c>
    </row>
    <row r="52" spans="3:41" ht="14.4" customHeight="1" x14ac:dyDescent="0.3">
      <c r="C52" s="40"/>
      <c r="D52" s="40"/>
      <c r="E52" s="175" t="s">
        <v>29</v>
      </c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38"/>
      <c r="Y52" s="38"/>
      <c r="Z52" s="38"/>
      <c r="AA52" s="38"/>
      <c r="AB52" s="38"/>
      <c r="AG52" s="18" t="s">
        <v>17</v>
      </c>
      <c r="AH52" s="19">
        <v>46332</v>
      </c>
      <c r="AI52" s="44">
        <v>2</v>
      </c>
    </row>
    <row r="53" spans="3:41" x14ac:dyDescent="0.3">
      <c r="C53" s="40"/>
      <c r="D53" s="40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38"/>
      <c r="Y53" s="38"/>
      <c r="Z53" s="38"/>
      <c r="AA53" s="38"/>
      <c r="AB53" s="38"/>
      <c r="AG53" s="18" t="s">
        <v>20</v>
      </c>
      <c r="AH53" s="19">
        <v>45968</v>
      </c>
      <c r="AI53" s="43">
        <v>0</v>
      </c>
      <c r="AJ53" s="16" t="s">
        <v>244</v>
      </c>
    </row>
    <row r="54" spans="3:41" x14ac:dyDescent="0.3">
      <c r="C54" s="40"/>
      <c r="D54" s="40"/>
      <c r="E54" s="176" t="s">
        <v>37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G54" s="18" t="s">
        <v>14</v>
      </c>
      <c r="AH54" s="19">
        <v>46336</v>
      </c>
      <c r="AI54" s="43">
        <v>2</v>
      </c>
    </row>
    <row r="55" spans="3:41" ht="15.6" x14ac:dyDescent="0.3">
      <c r="C55" s="40"/>
      <c r="D55" s="40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G55" s="18" t="s">
        <v>16</v>
      </c>
      <c r="AH55" s="19">
        <v>45972</v>
      </c>
      <c r="AI55" s="43">
        <v>2</v>
      </c>
      <c r="AJ55" s="25"/>
    </row>
    <row r="56" spans="3:41" x14ac:dyDescent="0.3">
      <c r="C56" s="40"/>
      <c r="D56" s="40"/>
      <c r="E56" s="176" t="s">
        <v>46</v>
      </c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G56" s="18" t="s">
        <v>17</v>
      </c>
      <c r="AH56" s="19">
        <v>46339</v>
      </c>
      <c r="AI56" s="43">
        <v>2</v>
      </c>
    </row>
    <row r="57" spans="3:41" x14ac:dyDescent="0.3">
      <c r="C57" s="40"/>
      <c r="D57" s="40"/>
      <c r="E57" s="37" t="s">
        <v>55</v>
      </c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G57" s="18" t="s">
        <v>20</v>
      </c>
      <c r="AH57" s="19">
        <v>45975</v>
      </c>
      <c r="AI57" s="43">
        <v>0</v>
      </c>
    </row>
    <row r="58" spans="3:41" x14ac:dyDescent="0.3">
      <c r="C58" s="40"/>
      <c r="D58" s="40"/>
      <c r="E58" s="37" t="s">
        <v>64</v>
      </c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G58" s="18" t="s">
        <v>14</v>
      </c>
      <c r="AH58" s="19">
        <v>46343</v>
      </c>
      <c r="AI58" s="43">
        <v>2</v>
      </c>
    </row>
    <row r="59" spans="3:41" x14ac:dyDescent="0.3">
      <c r="C59" s="40"/>
      <c r="D59" s="40"/>
      <c r="E59" s="37" t="s">
        <v>73</v>
      </c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G59" s="18" t="s">
        <v>16</v>
      </c>
      <c r="AH59" s="19">
        <v>45979</v>
      </c>
      <c r="AI59" s="43">
        <v>2</v>
      </c>
    </row>
    <row r="60" spans="3:41" x14ac:dyDescent="0.3">
      <c r="E60" s="37" t="s">
        <v>82</v>
      </c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G60" s="18" t="s">
        <v>17</v>
      </c>
      <c r="AH60" s="19">
        <v>46346</v>
      </c>
      <c r="AI60" s="43">
        <v>2</v>
      </c>
    </row>
    <row r="61" spans="3:41" x14ac:dyDescent="0.3">
      <c r="AG61" s="18" t="s">
        <v>20</v>
      </c>
      <c r="AH61" s="19">
        <v>45982</v>
      </c>
      <c r="AI61" s="43">
        <v>0</v>
      </c>
    </row>
    <row r="62" spans="3:41" x14ac:dyDescent="0.3"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AG62" s="18" t="s">
        <v>14</v>
      </c>
      <c r="AH62" s="19">
        <v>45985</v>
      </c>
      <c r="AI62" s="43">
        <v>2</v>
      </c>
      <c r="AJ62" s="16" t="s">
        <v>237</v>
      </c>
    </row>
    <row r="63" spans="3:41" x14ac:dyDescent="0.3">
      <c r="E63" s="40" t="s">
        <v>235</v>
      </c>
      <c r="F63" s="40"/>
      <c r="G63" s="40" t="s">
        <v>236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</row>
    <row r="64" spans="3:41" ht="15.6" x14ac:dyDescent="0.3">
      <c r="E64" s="40" t="s">
        <v>237</v>
      </c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AG64" s="18" t="s">
        <v>16</v>
      </c>
      <c r="AH64" s="19">
        <v>45986</v>
      </c>
      <c r="AI64" s="44">
        <v>2</v>
      </c>
      <c r="AJ64" s="147" t="s">
        <v>247</v>
      </c>
      <c r="AK64" s="110"/>
      <c r="AL64" s="110"/>
      <c r="AM64" s="110"/>
      <c r="AN64" s="110"/>
      <c r="AO64" s="110"/>
    </row>
    <row r="65" spans="5:36" x14ac:dyDescent="0.3"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AB65" s="143"/>
      <c r="AC65" s="143"/>
      <c r="AD65" s="143"/>
      <c r="AE65" s="143"/>
      <c r="AF65" s="146" t="s">
        <v>243</v>
      </c>
      <c r="AG65" s="143" t="s">
        <v>17</v>
      </c>
      <c r="AH65" s="144">
        <v>46353</v>
      </c>
      <c r="AI65" s="143">
        <v>2</v>
      </c>
    </row>
    <row r="66" spans="5:36" x14ac:dyDescent="0.3"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AG66" s="18" t="s">
        <v>20</v>
      </c>
      <c r="AH66" s="19">
        <v>45989</v>
      </c>
      <c r="AI66" s="44">
        <v>0</v>
      </c>
    </row>
    <row r="67" spans="5:36" ht="15.6" x14ac:dyDescent="0.3">
      <c r="E67" s="25" t="s">
        <v>18</v>
      </c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AG67" s="18" t="s">
        <v>14</v>
      </c>
      <c r="AH67" s="19">
        <v>46357</v>
      </c>
      <c r="AI67" s="44">
        <v>2</v>
      </c>
      <c r="AJ67" s="25"/>
    </row>
    <row r="68" spans="5:36" ht="15.6" x14ac:dyDescent="0.3">
      <c r="E68" s="25" t="s">
        <v>21</v>
      </c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AG68" s="18" t="s">
        <v>16</v>
      </c>
      <c r="AH68" s="19">
        <v>45993</v>
      </c>
      <c r="AI68" s="44">
        <v>2</v>
      </c>
    </row>
    <row r="69" spans="5:36" ht="15.6" x14ac:dyDescent="0.3">
      <c r="E69" s="25" t="s">
        <v>22</v>
      </c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AG69" s="18" t="s">
        <v>17</v>
      </c>
      <c r="AH69" s="19">
        <v>46360</v>
      </c>
      <c r="AI69" s="44">
        <v>2</v>
      </c>
    </row>
    <row r="70" spans="5:36" ht="15.6" x14ac:dyDescent="0.3">
      <c r="E70" s="25" t="s">
        <v>23</v>
      </c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AG70" s="18" t="s">
        <v>20</v>
      </c>
      <c r="AH70" s="19">
        <v>45996</v>
      </c>
      <c r="AI70" s="44">
        <v>0</v>
      </c>
    </row>
    <row r="71" spans="5:36" ht="15.6" x14ac:dyDescent="0.3">
      <c r="E71" s="25" t="s">
        <v>24</v>
      </c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AG71" s="18" t="s">
        <v>14</v>
      </c>
      <c r="AH71" s="19">
        <v>45999</v>
      </c>
      <c r="AI71" s="44">
        <v>0</v>
      </c>
    </row>
    <row r="72" spans="5:36" ht="15.6" x14ac:dyDescent="0.3">
      <c r="E72" s="26" t="s">
        <v>26</v>
      </c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AG72" s="18" t="s">
        <v>16</v>
      </c>
      <c r="AH72" s="19">
        <v>46000</v>
      </c>
      <c r="AI72" s="44">
        <v>2</v>
      </c>
      <c r="AJ72" s="16" t="s">
        <v>425</v>
      </c>
    </row>
    <row r="73" spans="5:36" ht="15.6" x14ac:dyDescent="0.3">
      <c r="E73" s="25" t="s">
        <v>27</v>
      </c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AG73" s="18" t="s">
        <v>17</v>
      </c>
      <c r="AH73" s="19">
        <v>46002</v>
      </c>
      <c r="AI73" s="43">
        <v>2</v>
      </c>
      <c r="AJ73" s="25" t="s">
        <v>249</v>
      </c>
    </row>
    <row r="74" spans="5:36" ht="15.6" x14ac:dyDescent="0.3">
      <c r="E74" s="25" t="s">
        <v>25</v>
      </c>
      <c r="AG74" s="18" t="s">
        <v>20</v>
      </c>
      <c r="AH74" s="19">
        <v>46003</v>
      </c>
      <c r="AI74" s="43">
        <v>0</v>
      </c>
    </row>
    <row r="75" spans="5:36" x14ac:dyDescent="0.3">
      <c r="AG75" s="18" t="s">
        <v>14</v>
      </c>
      <c r="AH75" s="19">
        <v>46006</v>
      </c>
      <c r="AI75" s="43">
        <v>2</v>
      </c>
    </row>
    <row r="76" spans="5:36" x14ac:dyDescent="0.3">
      <c r="AG76" s="18" t="s">
        <v>16</v>
      </c>
      <c r="AH76" s="19">
        <v>46007</v>
      </c>
      <c r="AI76" s="43">
        <v>2</v>
      </c>
    </row>
    <row r="77" spans="5:36" x14ac:dyDescent="0.3">
      <c r="AG77" s="18" t="s">
        <v>17</v>
      </c>
      <c r="AH77" s="19">
        <v>46009</v>
      </c>
      <c r="AI77" s="43">
        <v>2</v>
      </c>
    </row>
    <row r="78" spans="5:36" x14ac:dyDescent="0.3">
      <c r="AG78" s="18" t="s">
        <v>20</v>
      </c>
      <c r="AH78" s="19">
        <v>46010</v>
      </c>
      <c r="AI78" s="43">
        <v>0</v>
      </c>
    </row>
    <row r="79" spans="5:36" x14ac:dyDescent="0.3">
      <c r="AG79" s="18" t="s">
        <v>14</v>
      </c>
      <c r="AH79" s="19" t="s">
        <v>434</v>
      </c>
      <c r="AI79" s="43">
        <v>2</v>
      </c>
    </row>
    <row r="80" spans="5:36" ht="15.6" x14ac:dyDescent="0.3">
      <c r="AG80" s="18" t="s">
        <v>17</v>
      </c>
      <c r="AH80" s="19">
        <v>46030</v>
      </c>
      <c r="AI80" s="44">
        <v>2</v>
      </c>
      <c r="AJ80" s="25" t="s">
        <v>250</v>
      </c>
    </row>
    <row r="81" spans="33:36" ht="15.6" x14ac:dyDescent="0.3">
      <c r="AG81" s="18" t="s">
        <v>20</v>
      </c>
      <c r="AH81" s="19">
        <v>46031</v>
      </c>
      <c r="AI81" s="44">
        <v>0</v>
      </c>
      <c r="AJ81" s="25"/>
    </row>
    <row r="82" spans="33:36" x14ac:dyDescent="0.3">
      <c r="AG82" s="18" t="s">
        <v>14</v>
      </c>
      <c r="AH82" s="19">
        <v>46034</v>
      </c>
      <c r="AI82" s="44">
        <v>2</v>
      </c>
    </row>
    <row r="83" spans="33:36" x14ac:dyDescent="0.3">
      <c r="AG83" s="18" t="s">
        <v>16</v>
      </c>
      <c r="AH83" s="19">
        <v>46035</v>
      </c>
      <c r="AI83" s="44">
        <v>2</v>
      </c>
    </row>
    <row r="84" spans="33:36" x14ac:dyDescent="0.3">
      <c r="AG84" s="18" t="s">
        <v>17</v>
      </c>
      <c r="AH84" s="19">
        <v>46037</v>
      </c>
      <c r="AI84" s="44">
        <v>2</v>
      </c>
    </row>
    <row r="85" spans="33:36" x14ac:dyDescent="0.3">
      <c r="AG85" s="18" t="s">
        <v>20</v>
      </c>
      <c r="AH85" s="19">
        <v>46038</v>
      </c>
      <c r="AI85" s="44">
        <v>0</v>
      </c>
    </row>
    <row r="86" spans="33:36" x14ac:dyDescent="0.3">
      <c r="AG86" s="18" t="s">
        <v>14</v>
      </c>
      <c r="AH86" s="19">
        <v>46041</v>
      </c>
      <c r="AI86" s="44">
        <v>2</v>
      </c>
    </row>
    <row r="87" spans="33:36" ht="15.6" x14ac:dyDescent="0.3">
      <c r="AG87" s="18" t="s">
        <v>16</v>
      </c>
      <c r="AH87" s="19">
        <v>46042</v>
      </c>
      <c r="AI87" s="44">
        <v>2</v>
      </c>
      <c r="AJ87" s="25"/>
    </row>
    <row r="88" spans="33:36" x14ac:dyDescent="0.3">
      <c r="AG88" s="18" t="s">
        <v>17</v>
      </c>
      <c r="AH88" s="19">
        <v>46044</v>
      </c>
      <c r="AI88" s="44">
        <v>2</v>
      </c>
    </row>
    <row r="89" spans="33:36" x14ac:dyDescent="0.3">
      <c r="AG89" s="18" t="s">
        <v>20</v>
      </c>
      <c r="AH89" s="19">
        <v>46045</v>
      </c>
      <c r="AI89" s="44">
        <v>0</v>
      </c>
    </row>
    <row r="90" spans="33:36" x14ac:dyDescent="0.3">
      <c r="AG90" s="18" t="s">
        <v>14</v>
      </c>
      <c r="AH90" s="19">
        <v>46048</v>
      </c>
      <c r="AI90" s="44">
        <v>2</v>
      </c>
      <c r="AJ90" s="16" t="s">
        <v>426</v>
      </c>
    </row>
    <row r="91" spans="33:36" ht="15.6" x14ac:dyDescent="0.3">
      <c r="AG91" s="18" t="s">
        <v>16</v>
      </c>
      <c r="AH91" s="19">
        <v>46049</v>
      </c>
      <c r="AI91" s="43">
        <v>2</v>
      </c>
      <c r="AJ91" s="25" t="s">
        <v>250</v>
      </c>
    </row>
    <row r="92" spans="33:36" x14ac:dyDescent="0.3">
      <c r="AG92" s="18" t="s">
        <v>17</v>
      </c>
      <c r="AH92" s="19">
        <v>46051</v>
      </c>
      <c r="AI92" s="43">
        <v>2</v>
      </c>
    </row>
    <row r="93" spans="33:36" ht="15.6" x14ac:dyDescent="0.3">
      <c r="AG93" s="18" t="s">
        <v>20</v>
      </c>
      <c r="AH93" s="19">
        <v>46052</v>
      </c>
      <c r="AI93" s="43">
        <v>0</v>
      </c>
      <c r="AJ93" s="25"/>
    </row>
    <row r="94" spans="33:36" x14ac:dyDescent="0.3">
      <c r="AG94" s="18" t="s">
        <v>14</v>
      </c>
      <c r="AH94" s="19">
        <v>46055</v>
      </c>
      <c r="AI94" s="43">
        <v>2</v>
      </c>
    </row>
    <row r="95" spans="33:36" x14ac:dyDescent="0.3">
      <c r="AG95" s="18" t="s">
        <v>16</v>
      </c>
      <c r="AH95" s="19">
        <v>46056</v>
      </c>
      <c r="AI95" s="43">
        <v>2</v>
      </c>
    </row>
    <row r="96" spans="33:36" x14ac:dyDescent="0.3">
      <c r="AG96" s="18" t="s">
        <v>17</v>
      </c>
      <c r="AH96" s="19">
        <v>46058</v>
      </c>
      <c r="AI96" s="43">
        <v>2</v>
      </c>
    </row>
    <row r="97" spans="28:37" x14ac:dyDescent="0.3">
      <c r="AG97" s="18" t="s">
        <v>20</v>
      </c>
      <c r="AH97" s="19">
        <v>46059</v>
      </c>
      <c r="AI97" s="43">
        <v>0</v>
      </c>
    </row>
    <row r="98" spans="28:37" x14ac:dyDescent="0.3">
      <c r="AG98" s="18" t="s">
        <v>14</v>
      </c>
      <c r="AH98" s="19">
        <v>46062</v>
      </c>
      <c r="AI98" s="43">
        <v>2</v>
      </c>
    </row>
    <row r="99" spans="28:37" x14ac:dyDescent="0.3">
      <c r="AG99" s="18" t="s">
        <v>16</v>
      </c>
      <c r="AH99" s="19">
        <v>46063</v>
      </c>
      <c r="AI99" s="43">
        <v>2</v>
      </c>
    </row>
    <row r="100" spans="28:37" x14ac:dyDescent="0.3">
      <c r="AG100" s="18" t="s">
        <v>17</v>
      </c>
      <c r="AH100" s="19">
        <v>46065</v>
      </c>
      <c r="AI100" s="43">
        <v>2</v>
      </c>
      <c r="AJ100" s="1" t="s">
        <v>428</v>
      </c>
    </row>
    <row r="101" spans="28:37" x14ac:dyDescent="0.3">
      <c r="AG101" s="18" t="s">
        <v>20</v>
      </c>
      <c r="AH101" s="19">
        <v>46066</v>
      </c>
      <c r="AI101" s="43">
        <v>0</v>
      </c>
    </row>
    <row r="102" spans="28:37" x14ac:dyDescent="0.3">
      <c r="AG102" s="18" t="s">
        <v>14</v>
      </c>
      <c r="AH102" s="19">
        <v>46069</v>
      </c>
      <c r="AI102" s="45">
        <v>2</v>
      </c>
      <c r="AJ102" s="46" t="s">
        <v>245</v>
      </c>
      <c r="AK102" s="45"/>
    </row>
    <row r="103" spans="28:37" x14ac:dyDescent="0.3">
      <c r="AG103" s="18" t="s">
        <v>16</v>
      </c>
      <c r="AH103" s="19">
        <v>46070</v>
      </c>
      <c r="AI103" s="45">
        <v>2</v>
      </c>
      <c r="AJ103" s="46" t="s">
        <v>245</v>
      </c>
      <c r="AK103" s="45"/>
    </row>
    <row r="104" spans="28:37" x14ac:dyDescent="0.3">
      <c r="AB104" s="143"/>
      <c r="AC104" s="143"/>
      <c r="AD104" s="143"/>
      <c r="AE104" s="143"/>
      <c r="AF104" s="146" t="s">
        <v>427</v>
      </c>
      <c r="AG104" s="143" t="s">
        <v>17</v>
      </c>
      <c r="AH104" s="144">
        <v>46072</v>
      </c>
      <c r="AI104" s="143">
        <v>2</v>
      </c>
    </row>
    <row r="105" spans="28:37" x14ac:dyDescent="0.3">
      <c r="AG105" s="110"/>
      <c r="AH105" s="148"/>
      <c r="AI105" s="110"/>
    </row>
    <row r="106" spans="28:37" x14ac:dyDescent="0.3">
      <c r="AG106" s="1" t="s">
        <v>14</v>
      </c>
      <c r="AH106" s="17">
        <v>46077</v>
      </c>
      <c r="AI106" s="1">
        <v>2</v>
      </c>
    </row>
    <row r="107" spans="28:37" x14ac:dyDescent="0.3">
      <c r="AG107" s="1" t="s">
        <v>16</v>
      </c>
      <c r="AH107" s="17">
        <v>46078</v>
      </c>
      <c r="AI107" s="1">
        <v>2</v>
      </c>
    </row>
    <row r="108" spans="28:37" x14ac:dyDescent="0.3">
      <c r="AG108" s="1" t="s">
        <v>17</v>
      </c>
      <c r="AH108" s="17">
        <v>46080</v>
      </c>
      <c r="AI108" s="1">
        <v>2</v>
      </c>
    </row>
    <row r="109" spans="28:37" x14ac:dyDescent="0.3">
      <c r="AG109" s="1" t="s">
        <v>20</v>
      </c>
      <c r="AH109" s="17">
        <v>46081</v>
      </c>
      <c r="AI109" s="1">
        <v>1</v>
      </c>
    </row>
    <row r="110" spans="28:37" x14ac:dyDescent="0.3">
      <c r="AG110" s="1" t="s">
        <v>14</v>
      </c>
      <c r="AH110" s="17">
        <v>46084</v>
      </c>
      <c r="AI110" s="1">
        <v>2</v>
      </c>
    </row>
    <row r="111" spans="28:37" x14ac:dyDescent="0.3">
      <c r="AG111" s="1" t="s">
        <v>16</v>
      </c>
      <c r="AH111" s="17">
        <v>46085</v>
      </c>
      <c r="AI111" s="1">
        <v>2</v>
      </c>
    </row>
    <row r="112" spans="28:37" x14ac:dyDescent="0.3">
      <c r="AG112" s="1" t="s">
        <v>17</v>
      </c>
      <c r="AH112" s="17">
        <v>46087</v>
      </c>
      <c r="AI112" s="1">
        <v>2</v>
      </c>
    </row>
    <row r="113" spans="33:35" x14ac:dyDescent="0.3">
      <c r="AG113" s="1" t="s">
        <v>20</v>
      </c>
      <c r="AH113" s="17">
        <v>46088</v>
      </c>
      <c r="AI113" s="1">
        <v>1</v>
      </c>
    </row>
    <row r="114" spans="33:35" x14ac:dyDescent="0.3">
      <c r="AG114" s="1" t="s">
        <v>14</v>
      </c>
      <c r="AH114" s="17">
        <v>46091</v>
      </c>
      <c r="AI114" s="1">
        <v>2</v>
      </c>
    </row>
    <row r="115" spans="33:35" x14ac:dyDescent="0.3">
      <c r="AG115" s="1" t="s">
        <v>16</v>
      </c>
      <c r="AH115" s="17">
        <v>46092</v>
      </c>
      <c r="AI115" s="1">
        <v>2</v>
      </c>
    </row>
    <row r="116" spans="33:35" x14ac:dyDescent="0.3">
      <c r="AG116" s="1" t="s">
        <v>17</v>
      </c>
      <c r="AH116" s="17">
        <v>46094</v>
      </c>
      <c r="AI116" s="1">
        <v>2</v>
      </c>
    </row>
    <row r="117" spans="33:35" x14ac:dyDescent="0.3">
      <c r="AG117" s="1" t="s">
        <v>20</v>
      </c>
      <c r="AH117" s="17">
        <v>46095</v>
      </c>
      <c r="AI117" s="1">
        <v>1</v>
      </c>
    </row>
    <row r="118" spans="33:35" x14ac:dyDescent="0.3">
      <c r="AG118" s="1" t="s">
        <v>17</v>
      </c>
      <c r="AH118" s="17">
        <v>46101</v>
      </c>
      <c r="AI118" s="1">
        <v>2</v>
      </c>
    </row>
    <row r="119" spans="33:35" x14ac:dyDescent="0.3">
      <c r="AG119" s="1" t="s">
        <v>20</v>
      </c>
      <c r="AH119" s="17">
        <v>46102</v>
      </c>
      <c r="AI119" s="1">
        <v>1</v>
      </c>
    </row>
    <row r="120" spans="33:35" x14ac:dyDescent="0.3">
      <c r="AG120" s="1" t="s">
        <v>14</v>
      </c>
      <c r="AH120" s="17">
        <v>46105</v>
      </c>
      <c r="AI120" s="1">
        <v>2</v>
      </c>
    </row>
    <row r="121" spans="33:35" x14ac:dyDescent="0.3">
      <c r="AG121" s="1" t="s">
        <v>16</v>
      </c>
      <c r="AH121" s="17">
        <v>46106</v>
      </c>
      <c r="AI121" s="1">
        <v>2</v>
      </c>
    </row>
    <row r="122" spans="33:35" x14ac:dyDescent="0.3">
      <c r="AG122" s="1" t="s">
        <v>17</v>
      </c>
      <c r="AH122" s="17">
        <v>46108</v>
      </c>
      <c r="AI122" s="1">
        <v>2</v>
      </c>
    </row>
    <row r="123" spans="33:35" x14ac:dyDescent="0.3">
      <c r="AG123" s="1" t="s">
        <v>20</v>
      </c>
      <c r="AH123" s="17">
        <v>46109</v>
      </c>
      <c r="AI123" s="1">
        <v>1</v>
      </c>
    </row>
    <row r="124" spans="33:35" x14ac:dyDescent="0.3">
      <c r="AG124" s="1" t="s">
        <v>14</v>
      </c>
      <c r="AH124" s="17">
        <v>46112</v>
      </c>
      <c r="AI124" s="1">
        <v>2</v>
      </c>
    </row>
    <row r="125" spans="33:35" x14ac:dyDescent="0.3">
      <c r="AG125" s="1" t="s">
        <v>16</v>
      </c>
      <c r="AH125" s="17">
        <v>46113</v>
      </c>
      <c r="AI125" s="1">
        <v>2</v>
      </c>
    </row>
    <row r="126" spans="33:35" x14ac:dyDescent="0.3">
      <c r="AG126" s="1" t="s">
        <v>17</v>
      </c>
      <c r="AH126" s="17">
        <v>46115</v>
      </c>
      <c r="AI126" s="1">
        <v>2</v>
      </c>
    </row>
    <row r="127" spans="33:35" x14ac:dyDescent="0.3">
      <c r="AG127" s="1" t="s">
        <v>20</v>
      </c>
      <c r="AH127" s="17">
        <v>46116</v>
      </c>
      <c r="AI127" s="1">
        <v>1</v>
      </c>
    </row>
    <row r="128" spans="33:35" x14ac:dyDescent="0.3">
      <c r="AG128" s="1" t="s">
        <v>14</v>
      </c>
      <c r="AH128" s="17">
        <v>46119</v>
      </c>
      <c r="AI128" s="1">
        <v>2</v>
      </c>
    </row>
    <row r="129" spans="33:35" x14ac:dyDescent="0.3">
      <c r="AG129" s="1" t="s">
        <v>16</v>
      </c>
      <c r="AH129" s="17">
        <v>46120</v>
      </c>
      <c r="AI129" s="1">
        <v>2</v>
      </c>
    </row>
    <row r="130" spans="33:35" x14ac:dyDescent="0.3">
      <c r="AG130" s="1" t="s">
        <v>17</v>
      </c>
      <c r="AH130" s="17">
        <v>46122</v>
      </c>
      <c r="AI130" s="1">
        <v>2</v>
      </c>
    </row>
    <row r="131" spans="33:35" x14ac:dyDescent="0.3">
      <c r="AG131" s="1" t="s">
        <v>20</v>
      </c>
      <c r="AH131" s="17">
        <v>46123</v>
      </c>
      <c r="AI131" s="1">
        <v>1</v>
      </c>
    </row>
    <row r="132" spans="33:35" x14ac:dyDescent="0.3">
      <c r="AG132" s="1" t="s">
        <v>14</v>
      </c>
      <c r="AH132" s="17">
        <v>46126</v>
      </c>
      <c r="AI132" s="1">
        <v>2</v>
      </c>
    </row>
    <row r="133" spans="33:35" x14ac:dyDescent="0.3">
      <c r="AG133" s="1" t="s">
        <v>16</v>
      </c>
      <c r="AH133" s="17">
        <v>46127</v>
      </c>
      <c r="AI133" s="1">
        <v>2</v>
      </c>
    </row>
    <row r="134" spans="33:35" x14ac:dyDescent="0.3">
      <c r="AG134" s="1" t="s">
        <v>16</v>
      </c>
      <c r="AH134" s="17">
        <v>46141</v>
      </c>
      <c r="AI134" s="1">
        <v>2</v>
      </c>
    </row>
    <row r="135" spans="33:35" x14ac:dyDescent="0.3">
      <c r="AG135" s="1" t="s">
        <v>14</v>
      </c>
      <c r="AH135" s="17">
        <v>46147</v>
      </c>
      <c r="AI135" s="1">
        <v>2</v>
      </c>
    </row>
    <row r="136" spans="33:35" x14ac:dyDescent="0.3">
      <c r="AG136" s="1" t="s">
        <v>16</v>
      </c>
      <c r="AH136" s="17">
        <v>46148</v>
      </c>
      <c r="AI136" s="1">
        <v>2</v>
      </c>
    </row>
    <row r="137" spans="33:35" x14ac:dyDescent="0.3">
      <c r="AG137" s="1" t="s">
        <v>17</v>
      </c>
      <c r="AH137" s="17">
        <v>46150</v>
      </c>
      <c r="AI137" s="1">
        <v>2</v>
      </c>
    </row>
    <row r="138" spans="33:35" x14ac:dyDescent="0.3">
      <c r="AG138" s="1" t="s">
        <v>20</v>
      </c>
      <c r="AH138" s="17">
        <v>46151</v>
      </c>
      <c r="AI138" s="1">
        <v>1</v>
      </c>
    </row>
    <row r="139" spans="33:35" x14ac:dyDescent="0.3">
      <c r="AG139" s="1" t="s">
        <v>14</v>
      </c>
      <c r="AH139" s="17">
        <v>46154</v>
      </c>
      <c r="AI139" s="1">
        <v>2</v>
      </c>
    </row>
    <row r="140" spans="33:35" x14ac:dyDescent="0.3">
      <c r="AG140" s="1" t="s">
        <v>16</v>
      </c>
      <c r="AH140" s="17">
        <v>46155</v>
      </c>
      <c r="AI140" s="1">
        <v>2</v>
      </c>
    </row>
    <row r="141" spans="33:35" x14ac:dyDescent="0.3">
      <c r="AG141" s="1" t="s">
        <v>17</v>
      </c>
      <c r="AH141" s="17">
        <v>46157</v>
      </c>
      <c r="AI141" s="1">
        <v>2</v>
      </c>
    </row>
    <row r="142" spans="33:35" x14ac:dyDescent="0.3">
      <c r="AG142" s="1" t="s">
        <v>20</v>
      </c>
      <c r="AH142" s="17">
        <v>46158</v>
      </c>
      <c r="AI142" s="1">
        <v>1</v>
      </c>
    </row>
    <row r="143" spans="33:35" x14ac:dyDescent="0.3">
      <c r="AG143" s="1" t="s">
        <v>14</v>
      </c>
      <c r="AH143" s="17">
        <v>46161</v>
      </c>
      <c r="AI143" s="1">
        <v>2</v>
      </c>
    </row>
    <row r="144" spans="33:35" x14ac:dyDescent="0.3">
      <c r="AG144" s="1" t="s">
        <v>16</v>
      </c>
      <c r="AH144" s="17">
        <v>46162</v>
      </c>
      <c r="AI144" s="1">
        <v>2</v>
      </c>
    </row>
    <row r="145" spans="33:35" x14ac:dyDescent="0.3">
      <c r="AG145" s="1" t="s">
        <v>17</v>
      </c>
      <c r="AH145" s="17">
        <v>46164</v>
      </c>
      <c r="AI145" s="1">
        <v>2</v>
      </c>
    </row>
    <row r="146" spans="33:35" x14ac:dyDescent="0.3">
      <c r="AG146" s="1" t="s">
        <v>20</v>
      </c>
      <c r="AH146" s="17">
        <v>46165</v>
      </c>
      <c r="AI146" s="1">
        <v>1</v>
      </c>
    </row>
    <row r="147" spans="33:35" x14ac:dyDescent="0.3">
      <c r="AG147" s="1" t="s">
        <v>14</v>
      </c>
      <c r="AH147" s="17">
        <v>46168</v>
      </c>
      <c r="AI147" s="1">
        <v>2</v>
      </c>
    </row>
    <row r="148" spans="33:35" x14ac:dyDescent="0.3">
      <c r="AG148" s="1" t="s">
        <v>16</v>
      </c>
      <c r="AH148" s="17">
        <v>46169</v>
      </c>
      <c r="AI148" s="1">
        <v>2</v>
      </c>
    </row>
    <row r="149" spans="33:35" x14ac:dyDescent="0.3">
      <c r="AG149" s="1" t="s">
        <v>17</v>
      </c>
      <c r="AH149" s="17">
        <v>46171</v>
      </c>
      <c r="AI149" s="1">
        <v>2</v>
      </c>
    </row>
    <row r="150" spans="33:35" x14ac:dyDescent="0.3">
      <c r="AG150" s="1" t="s">
        <v>20</v>
      </c>
      <c r="AH150" s="17">
        <v>46172</v>
      </c>
      <c r="AI150" s="1">
        <v>1</v>
      </c>
    </row>
    <row r="151" spans="33:35" x14ac:dyDescent="0.3">
      <c r="AG151" s="1" t="s">
        <v>14</v>
      </c>
      <c r="AH151" s="17">
        <v>46175</v>
      </c>
      <c r="AI151" s="1">
        <v>2</v>
      </c>
    </row>
    <row r="152" spans="33:35" x14ac:dyDescent="0.3">
      <c r="AG152" s="1" t="s">
        <v>16</v>
      </c>
      <c r="AH152" s="17">
        <v>46176</v>
      </c>
      <c r="AI152" s="1">
        <v>2</v>
      </c>
    </row>
    <row r="153" spans="33:35" x14ac:dyDescent="0.3">
      <c r="AG153" s="1" t="s">
        <v>17</v>
      </c>
      <c r="AH153" s="17">
        <v>46178</v>
      </c>
      <c r="AI153" s="1">
        <v>2</v>
      </c>
    </row>
    <row r="154" spans="33:35" x14ac:dyDescent="0.3">
      <c r="AG154" s="1" t="s">
        <v>20</v>
      </c>
      <c r="AH154" s="17">
        <v>46179</v>
      </c>
      <c r="AI154" s="1">
        <v>1</v>
      </c>
    </row>
    <row r="155" spans="33:35" x14ac:dyDescent="0.3">
      <c r="AG155" s="1" t="s">
        <v>14</v>
      </c>
      <c r="AH155" s="17">
        <v>46182</v>
      </c>
      <c r="AI155" s="1">
        <v>2</v>
      </c>
    </row>
    <row r="156" spans="33:35" x14ac:dyDescent="0.3">
      <c r="AG156" s="1" t="s">
        <v>16</v>
      </c>
      <c r="AH156" s="17">
        <v>46183</v>
      </c>
      <c r="AI156" s="1">
        <v>2</v>
      </c>
    </row>
    <row r="157" spans="33:35" x14ac:dyDescent="0.3">
      <c r="AG157" s="1" t="s">
        <v>17</v>
      </c>
      <c r="AH157" s="17">
        <v>46185</v>
      </c>
      <c r="AI157" s="1">
        <v>2</v>
      </c>
    </row>
    <row r="158" spans="33:35" x14ac:dyDescent="0.3">
      <c r="AG158" s="1" t="s">
        <v>20</v>
      </c>
      <c r="AH158" s="17">
        <v>46186</v>
      </c>
      <c r="AI158" s="1">
        <v>1</v>
      </c>
    </row>
    <row r="159" spans="33:35" x14ac:dyDescent="0.3">
      <c r="AG159" s="1" t="s">
        <v>14</v>
      </c>
      <c r="AH159" s="17">
        <v>46189</v>
      </c>
      <c r="AI159" s="1">
        <v>2</v>
      </c>
    </row>
    <row r="160" spans="33:35" x14ac:dyDescent="0.3">
      <c r="AG160" s="1" t="s">
        <v>16</v>
      </c>
      <c r="AH160" s="17">
        <v>46190</v>
      </c>
      <c r="AI160" s="1">
        <v>2</v>
      </c>
    </row>
    <row r="181" spans="35:35" x14ac:dyDescent="0.3">
      <c r="AI181" s="17"/>
    </row>
    <row r="182" spans="35:35" x14ac:dyDescent="0.3">
      <c r="AI182" s="17"/>
    </row>
  </sheetData>
  <mergeCells count="28">
    <mergeCell ref="R19:T19"/>
    <mergeCell ref="B2:AF2"/>
    <mergeCell ref="B3:H3"/>
    <mergeCell ref="J3:P3"/>
    <mergeCell ref="R3:X3"/>
    <mergeCell ref="Z3:AF3"/>
    <mergeCell ref="B10:H10"/>
    <mergeCell ref="J10:P10"/>
    <mergeCell ref="R10:X10"/>
    <mergeCell ref="Z10:AF10"/>
    <mergeCell ref="B17:H17"/>
    <mergeCell ref="J17:P17"/>
    <mergeCell ref="AA17:AC17"/>
    <mergeCell ref="AA18:AB18"/>
    <mergeCell ref="R18:T18"/>
    <mergeCell ref="AA19:AC19"/>
    <mergeCell ref="E52:W53"/>
    <mergeCell ref="E54:AB54"/>
    <mergeCell ref="E55:AB55"/>
    <mergeCell ref="E56:AB56"/>
    <mergeCell ref="R20:T20"/>
    <mergeCell ref="R22:T22"/>
    <mergeCell ref="H27:J27"/>
    <mergeCell ref="H31:J31"/>
    <mergeCell ref="H33:J33"/>
    <mergeCell ref="H36:J36"/>
    <mergeCell ref="H38:J38"/>
    <mergeCell ref="R21:T21"/>
  </mergeCells>
  <hyperlinks>
    <hyperlink ref="M43" r:id="rId1" xr:uid="{6E1A5D9E-1EB1-4680-8D1F-0B5E1FFA1C70}"/>
    <hyperlink ref="M45" r:id="rId2" xr:uid="{C46CB404-3FE6-4F54-872E-EDA8CE5E8E9E}"/>
    <hyperlink ref="M46" r:id="rId3" xr:uid="{88C57126-714F-497F-BE6B-BF85B24BAD69}"/>
  </hyperlinks>
  <pageMargins left="0.23622047244094491" right="0.23622047244094491" top="0.35433070866141736" bottom="0.35433070866141736" header="0.31496062992125984" footer="0.31496062992125984"/>
  <pageSetup paperSize="9" orientation="landscape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0E62-873C-432C-9291-2B4631E39BAE}">
  <sheetPr>
    <pageSetUpPr fitToPage="1"/>
  </sheetPr>
  <dimension ref="A1:M48"/>
  <sheetViews>
    <sheetView topLeftCell="C22" zoomScale="70" zoomScaleNormal="70" workbookViewId="0">
      <selection activeCell="H42" sqref="H42"/>
    </sheetView>
  </sheetViews>
  <sheetFormatPr defaultColWidth="11.5546875" defaultRowHeight="14.4" x14ac:dyDescent="0.3"/>
  <cols>
    <col min="1" max="1" width="11.5546875" style="162"/>
    <col min="2" max="6" width="30.77734375" customWidth="1"/>
    <col min="7" max="7" width="11.5546875" style="162"/>
    <col min="8" max="12" width="30.77734375" customWidth="1"/>
    <col min="13" max="13" width="11.5546875" style="162"/>
  </cols>
  <sheetData>
    <row r="1" spans="1:13" s="162" customFormat="1" ht="15" thickBot="1" x14ac:dyDescent="0.35"/>
    <row r="2" spans="1:13" ht="34.799999999999997" customHeight="1" thickBot="1" x14ac:dyDescent="0.35">
      <c r="B2" s="172" t="s">
        <v>270</v>
      </c>
      <c r="C2" s="173"/>
      <c r="D2" s="173"/>
      <c r="E2" s="173"/>
      <c r="F2" s="174"/>
      <c r="H2" s="172" t="s">
        <v>271</v>
      </c>
      <c r="I2" s="173"/>
      <c r="J2" s="173"/>
      <c r="K2" s="173"/>
      <c r="L2" s="174"/>
    </row>
    <row r="3" spans="1:13" s="68" customFormat="1" ht="15" thickBot="1" x14ac:dyDescent="0.35">
      <c r="A3" s="163"/>
      <c r="B3" s="71" t="s">
        <v>265</v>
      </c>
      <c r="C3" s="71" t="s">
        <v>266</v>
      </c>
      <c r="D3" s="71" t="s">
        <v>267</v>
      </c>
      <c r="E3" s="71" t="s">
        <v>268</v>
      </c>
      <c r="F3" s="71" t="s">
        <v>269</v>
      </c>
      <c r="G3" s="163"/>
      <c r="H3" s="71" t="s">
        <v>265</v>
      </c>
      <c r="I3" s="71" t="s">
        <v>266</v>
      </c>
      <c r="J3" s="71" t="s">
        <v>267</v>
      </c>
      <c r="K3" s="71" t="s">
        <v>268</v>
      </c>
      <c r="L3" s="71" t="s">
        <v>269</v>
      </c>
      <c r="M3" s="163"/>
    </row>
    <row r="4" spans="1:13" s="67" customFormat="1" ht="23.4" x14ac:dyDescent="0.45">
      <c r="A4" s="161"/>
      <c r="B4" s="73">
        <v>1</v>
      </c>
      <c r="C4" s="73">
        <v>2</v>
      </c>
      <c r="D4" s="73">
        <f>C4+1</f>
        <v>3</v>
      </c>
      <c r="E4" s="73">
        <f>D4+1</f>
        <v>4</v>
      </c>
      <c r="F4" s="73">
        <f>E4+1</f>
        <v>5</v>
      </c>
      <c r="G4" s="161"/>
      <c r="H4" s="157"/>
      <c r="I4" s="157"/>
      <c r="J4" s="73">
        <f>I4+1</f>
        <v>1</v>
      </c>
      <c r="K4" s="70">
        <f>J4+1</f>
        <v>2</v>
      </c>
      <c r="L4" s="70">
        <f>K4+1</f>
        <v>3</v>
      </c>
      <c r="M4" s="161"/>
    </row>
    <row r="5" spans="1:13" ht="85.05" customHeight="1" thickBot="1" x14ac:dyDescent="0.35">
      <c r="B5" s="74"/>
      <c r="C5" s="75"/>
      <c r="D5" s="74"/>
      <c r="E5" s="75"/>
      <c r="F5" s="74"/>
      <c r="H5" s="91"/>
      <c r="I5" s="91"/>
      <c r="J5" s="77"/>
      <c r="K5" s="79" t="s">
        <v>281</v>
      </c>
      <c r="L5" s="77"/>
    </row>
    <row r="6" spans="1:13" s="67" customFormat="1" ht="23.4" x14ac:dyDescent="0.45">
      <c r="A6" s="161"/>
      <c r="B6" s="72">
        <f>F4+3</f>
        <v>8</v>
      </c>
      <c r="C6" s="70">
        <f>B6+1</f>
        <v>9</v>
      </c>
      <c r="D6" s="76">
        <f>C6+1</f>
        <v>10</v>
      </c>
      <c r="E6" s="70">
        <f>D6+1</f>
        <v>11</v>
      </c>
      <c r="F6" s="72">
        <f>E6+1</f>
        <v>12</v>
      </c>
      <c r="G6" s="161"/>
      <c r="H6" s="70">
        <f>L4+3</f>
        <v>6</v>
      </c>
      <c r="I6" s="70">
        <f>H6+1</f>
        <v>7</v>
      </c>
      <c r="J6" s="72">
        <f>I6+1</f>
        <v>8</v>
      </c>
      <c r="K6" s="70">
        <f>J6+1</f>
        <v>9</v>
      </c>
      <c r="L6" s="72">
        <f>K6+1</f>
        <v>10</v>
      </c>
      <c r="M6" s="161"/>
    </row>
    <row r="7" spans="1:13" ht="85.05" customHeight="1" thickBot="1" x14ac:dyDescent="0.35">
      <c r="B7" s="155" t="s">
        <v>276</v>
      </c>
      <c r="C7" s="78" t="s">
        <v>291</v>
      </c>
      <c r="D7" s="77"/>
      <c r="E7" s="79" t="s">
        <v>431</v>
      </c>
      <c r="F7" s="77"/>
      <c r="G7" s="164"/>
      <c r="H7" s="90" t="s">
        <v>277</v>
      </c>
      <c r="I7" s="80" t="s">
        <v>282</v>
      </c>
      <c r="J7" s="74"/>
      <c r="K7" s="90" t="s">
        <v>277</v>
      </c>
      <c r="L7" s="90" t="s">
        <v>277</v>
      </c>
    </row>
    <row r="8" spans="1:13" s="67" customFormat="1" ht="23.4" x14ac:dyDescent="0.45">
      <c r="A8" s="161"/>
      <c r="B8" s="70">
        <f>F6+3</f>
        <v>15</v>
      </c>
      <c r="C8" s="72">
        <f>B8+1</f>
        <v>16</v>
      </c>
      <c r="D8" s="73">
        <f>C8+1</f>
        <v>17</v>
      </c>
      <c r="E8" s="72">
        <f>D8+1</f>
        <v>18</v>
      </c>
      <c r="F8" s="70">
        <f>E8+1</f>
        <v>19</v>
      </c>
      <c r="G8" s="161"/>
      <c r="H8" s="70">
        <f>L6+3</f>
        <v>13</v>
      </c>
      <c r="I8" s="72">
        <f>H8+1</f>
        <v>14</v>
      </c>
      <c r="J8" s="73">
        <f>I8+1</f>
        <v>15</v>
      </c>
      <c r="K8" s="72">
        <f>J8+1</f>
        <v>16</v>
      </c>
      <c r="L8" s="70">
        <f>K8+1</f>
        <v>17</v>
      </c>
      <c r="M8" s="161"/>
    </row>
    <row r="9" spans="1:13" ht="85.05" customHeight="1" thickBot="1" x14ac:dyDescent="0.35">
      <c r="B9" s="79" t="s">
        <v>286</v>
      </c>
      <c r="C9" s="79" t="s">
        <v>286</v>
      </c>
      <c r="D9" s="74"/>
      <c r="E9" s="79" t="s">
        <v>287</v>
      </c>
      <c r="F9" s="77"/>
      <c r="H9" s="156" t="s">
        <v>289</v>
      </c>
      <c r="I9" s="81" t="s">
        <v>289</v>
      </c>
      <c r="J9" s="74"/>
      <c r="K9" s="81" t="s">
        <v>289</v>
      </c>
      <c r="L9" s="77"/>
    </row>
    <row r="10" spans="1:13" s="67" customFormat="1" ht="23.4" x14ac:dyDescent="0.45">
      <c r="A10" s="161"/>
      <c r="B10" s="72">
        <f>F8+3</f>
        <v>22</v>
      </c>
      <c r="C10" s="70">
        <f>B10+1</f>
        <v>23</v>
      </c>
      <c r="D10" s="73">
        <f>C10+1</f>
        <v>24</v>
      </c>
      <c r="E10" s="70">
        <f>D10+1</f>
        <v>25</v>
      </c>
      <c r="F10" s="70">
        <f>E10+1</f>
        <v>26</v>
      </c>
      <c r="G10" s="161"/>
      <c r="H10" s="72">
        <f>L8+3</f>
        <v>20</v>
      </c>
      <c r="I10" s="70">
        <f>H10+1</f>
        <v>21</v>
      </c>
      <c r="J10" s="76">
        <f>I10+1</f>
        <v>22</v>
      </c>
      <c r="K10" s="70">
        <f>J10+1</f>
        <v>23</v>
      </c>
      <c r="L10" s="70">
        <f>K10+1</f>
        <v>24</v>
      </c>
      <c r="M10" s="161"/>
    </row>
    <row r="11" spans="1:13" ht="85.05" customHeight="1" thickBot="1" x14ac:dyDescent="0.35">
      <c r="B11" s="79" t="s">
        <v>279</v>
      </c>
      <c r="C11" s="149" t="s">
        <v>288</v>
      </c>
      <c r="D11" s="74"/>
      <c r="E11" s="79" t="s">
        <v>280</v>
      </c>
      <c r="F11" s="77"/>
      <c r="H11" s="81" t="s">
        <v>289</v>
      </c>
      <c r="I11" s="81" t="s">
        <v>290</v>
      </c>
      <c r="J11" s="74"/>
      <c r="K11" s="81" t="s">
        <v>290</v>
      </c>
      <c r="L11" s="77"/>
    </row>
    <row r="12" spans="1:13" s="67" customFormat="1" ht="23.4" x14ac:dyDescent="0.45">
      <c r="A12" s="161"/>
      <c r="B12" s="70">
        <f>F10+3</f>
        <v>29</v>
      </c>
      <c r="C12" s="70">
        <f>B12+1</f>
        <v>30</v>
      </c>
      <c r="D12" s="161"/>
      <c r="E12" s="161"/>
      <c r="F12" s="161"/>
      <c r="G12" s="161"/>
      <c r="H12" s="70">
        <f>L10+3</f>
        <v>27</v>
      </c>
      <c r="I12" s="70">
        <f>H12+1</f>
        <v>28</v>
      </c>
      <c r="J12" s="73">
        <f>I12+1</f>
        <v>29</v>
      </c>
      <c r="K12" s="70">
        <f>J12+1</f>
        <v>30</v>
      </c>
      <c r="L12" s="70">
        <f>K12+1</f>
        <v>31</v>
      </c>
      <c r="M12" s="161"/>
    </row>
    <row r="13" spans="1:13" ht="85.05" customHeight="1" thickBot="1" x14ac:dyDescent="0.35">
      <c r="B13" s="79" t="s">
        <v>283</v>
      </c>
      <c r="C13" s="79" t="s">
        <v>283</v>
      </c>
      <c r="D13" s="162"/>
      <c r="E13" s="162"/>
      <c r="F13" s="162"/>
      <c r="H13" s="156" t="s">
        <v>292</v>
      </c>
      <c r="I13" s="81" t="s">
        <v>292</v>
      </c>
      <c r="J13" s="74"/>
      <c r="K13" s="81" t="s">
        <v>294</v>
      </c>
      <c r="L13" s="77"/>
    </row>
    <row r="14" spans="1:13" x14ac:dyDescent="0.3">
      <c r="B14" s="162"/>
      <c r="C14" s="162"/>
      <c r="D14" s="162"/>
      <c r="E14" s="162"/>
      <c r="F14" s="162"/>
      <c r="H14" s="162"/>
      <c r="I14" s="162"/>
      <c r="J14" s="162"/>
      <c r="K14" s="162"/>
      <c r="L14" s="162"/>
    </row>
    <row r="15" spans="1:13" x14ac:dyDescent="0.3">
      <c r="B15" s="162"/>
      <c r="C15" s="162"/>
      <c r="D15" s="162"/>
      <c r="E15" s="162"/>
      <c r="F15" s="162"/>
      <c r="H15" s="162"/>
      <c r="I15" s="162"/>
      <c r="J15" s="162"/>
      <c r="K15" s="162"/>
      <c r="L15" s="162"/>
    </row>
    <row r="16" spans="1:13" ht="15" thickBot="1" x14ac:dyDescent="0.35">
      <c r="H16" s="162"/>
      <c r="I16" s="162"/>
      <c r="J16" s="162"/>
      <c r="K16" s="162"/>
      <c r="L16" s="162"/>
    </row>
    <row r="17" spans="1:13" ht="37.200000000000003" thickBot="1" x14ac:dyDescent="0.35">
      <c r="B17" s="172" t="s">
        <v>272</v>
      </c>
      <c r="C17" s="173"/>
      <c r="D17" s="173"/>
      <c r="E17" s="173"/>
      <c r="F17" s="174"/>
      <c r="H17" s="172" t="s">
        <v>273</v>
      </c>
      <c r="I17" s="173"/>
      <c r="J17" s="173"/>
      <c r="K17" s="173"/>
      <c r="L17" s="174"/>
    </row>
    <row r="18" spans="1:13" s="68" customFormat="1" ht="15" thickBot="1" x14ac:dyDescent="0.35">
      <c r="A18" s="163"/>
      <c r="B18" s="71" t="s">
        <v>265</v>
      </c>
      <c r="C18" s="71" t="s">
        <v>266</v>
      </c>
      <c r="D18" s="71" t="s">
        <v>267</v>
      </c>
      <c r="E18" s="71" t="s">
        <v>268</v>
      </c>
      <c r="F18" s="71" t="s">
        <v>269</v>
      </c>
      <c r="G18" s="163"/>
      <c r="H18" s="71" t="s">
        <v>265</v>
      </c>
      <c r="I18" s="71" t="s">
        <v>266</v>
      </c>
      <c r="J18" s="71" t="s">
        <v>267</v>
      </c>
      <c r="K18" s="71" t="s">
        <v>268</v>
      </c>
      <c r="L18" s="71" t="s">
        <v>269</v>
      </c>
      <c r="M18" s="163"/>
    </row>
    <row r="19" spans="1:13" s="67" customFormat="1" ht="23.4" x14ac:dyDescent="0.45">
      <c r="A19" s="161"/>
      <c r="B19" s="70">
        <f>F17+3</f>
        <v>3</v>
      </c>
      <c r="C19" s="70">
        <f>B19+1</f>
        <v>4</v>
      </c>
      <c r="D19" s="73">
        <f>C19+1</f>
        <v>5</v>
      </c>
      <c r="E19" s="70">
        <f>D19+1</f>
        <v>6</v>
      </c>
      <c r="F19" s="72">
        <f>E19+1</f>
        <v>7</v>
      </c>
      <c r="G19" s="161"/>
      <c r="H19" s="70">
        <v>1</v>
      </c>
      <c r="I19" s="70">
        <f>H19+1</f>
        <v>2</v>
      </c>
      <c r="J19" s="73">
        <f>I19+1</f>
        <v>3</v>
      </c>
      <c r="K19" s="70">
        <f>J19+1</f>
        <v>4</v>
      </c>
      <c r="L19" s="70">
        <f>K19+1</f>
        <v>5</v>
      </c>
      <c r="M19" s="161"/>
    </row>
    <row r="20" spans="1:13" ht="85.05" customHeight="1" thickBot="1" x14ac:dyDescent="0.35">
      <c r="B20" s="81" t="s">
        <v>293</v>
      </c>
      <c r="C20" s="81" t="s">
        <v>293</v>
      </c>
      <c r="D20" s="74"/>
      <c r="E20" s="81" t="s">
        <v>293</v>
      </c>
      <c r="F20" s="77"/>
      <c r="H20" s="85" t="s">
        <v>298</v>
      </c>
      <c r="I20" s="85" t="s">
        <v>298</v>
      </c>
      <c r="J20" s="74"/>
      <c r="K20" s="85" t="s">
        <v>298</v>
      </c>
      <c r="L20" s="77"/>
    </row>
    <row r="21" spans="1:13" s="67" customFormat="1" ht="23.4" x14ac:dyDescent="0.45">
      <c r="A21" s="161"/>
      <c r="B21" s="70">
        <f>F19+3</f>
        <v>10</v>
      </c>
      <c r="C21" s="72">
        <f>B21+1</f>
        <v>11</v>
      </c>
      <c r="D21" s="73">
        <f>C21+1</f>
        <v>12</v>
      </c>
      <c r="E21" s="72">
        <f>D21+1</f>
        <v>13</v>
      </c>
      <c r="F21" s="70">
        <f>E21+1</f>
        <v>14</v>
      </c>
      <c r="G21" s="161"/>
      <c r="H21" s="72">
        <f>L19+3</f>
        <v>8</v>
      </c>
      <c r="I21" s="70">
        <f>H21+1</f>
        <v>9</v>
      </c>
      <c r="J21" s="76">
        <f>I21+1</f>
        <v>10</v>
      </c>
      <c r="K21" s="70">
        <f>J21+1</f>
        <v>11</v>
      </c>
      <c r="L21" s="72">
        <f>K21+1</f>
        <v>12</v>
      </c>
      <c r="M21" s="161"/>
    </row>
    <row r="22" spans="1:13" ht="85.05" customHeight="1" thickBot="1" x14ac:dyDescent="0.35">
      <c r="B22" s="156" t="s">
        <v>295</v>
      </c>
      <c r="C22" s="81" t="s">
        <v>295</v>
      </c>
      <c r="D22" s="74"/>
      <c r="E22" s="81" t="s">
        <v>295</v>
      </c>
      <c r="F22" s="77"/>
      <c r="H22" s="90" t="s">
        <v>277</v>
      </c>
      <c r="I22" s="80" t="s">
        <v>299</v>
      </c>
      <c r="J22" s="75"/>
      <c r="K22" s="86" t="s">
        <v>300</v>
      </c>
      <c r="L22" s="77"/>
    </row>
    <row r="23" spans="1:13" s="67" customFormat="1" ht="23.4" x14ac:dyDescent="0.45">
      <c r="A23" s="161"/>
      <c r="B23" s="72">
        <f>F21+3</f>
        <v>17</v>
      </c>
      <c r="C23" s="70">
        <f>B23+1</f>
        <v>18</v>
      </c>
      <c r="D23" s="76">
        <f>C23+1</f>
        <v>19</v>
      </c>
      <c r="E23" s="70">
        <f>D23+1</f>
        <v>20</v>
      </c>
      <c r="F23" s="72">
        <f>E23+1</f>
        <v>21</v>
      </c>
      <c r="G23" s="161"/>
      <c r="H23" s="70">
        <f>L21+3</f>
        <v>15</v>
      </c>
      <c r="I23" s="72">
        <f>H23+1</f>
        <v>16</v>
      </c>
      <c r="J23" s="73">
        <f>I23+1</f>
        <v>17</v>
      </c>
      <c r="K23" s="72">
        <f>J23+1</f>
        <v>18</v>
      </c>
      <c r="L23" s="70">
        <f>K23+1</f>
        <v>19</v>
      </c>
      <c r="M23" s="161"/>
    </row>
    <row r="24" spans="1:13" ht="85.05" customHeight="1" thickBot="1" x14ac:dyDescent="0.35">
      <c r="B24" s="81" t="s">
        <v>295</v>
      </c>
      <c r="C24" s="81" t="s">
        <v>295</v>
      </c>
      <c r="D24" s="74"/>
      <c r="E24" s="81" t="s">
        <v>314</v>
      </c>
      <c r="F24" s="77"/>
      <c r="H24" s="86" t="s">
        <v>302</v>
      </c>
      <c r="I24" s="86" t="s">
        <v>301</v>
      </c>
      <c r="J24" s="74"/>
      <c r="K24" s="86" t="s">
        <v>301</v>
      </c>
      <c r="L24" s="77"/>
    </row>
    <row r="25" spans="1:13" s="67" customFormat="1" ht="23.4" x14ac:dyDescent="0.45">
      <c r="A25" s="161"/>
      <c r="B25" s="70">
        <f>F23+3</f>
        <v>24</v>
      </c>
      <c r="C25" s="70">
        <f>B25+1</f>
        <v>25</v>
      </c>
      <c r="D25" s="73">
        <f>C25+1</f>
        <v>26</v>
      </c>
      <c r="E25" s="70">
        <f>D25+1</f>
        <v>27</v>
      </c>
      <c r="F25" s="72">
        <f>E25+1</f>
        <v>28</v>
      </c>
      <c r="G25" s="161"/>
      <c r="H25" s="72">
        <f>L23+3</f>
        <v>22</v>
      </c>
      <c r="I25" s="70">
        <f>H25+1</f>
        <v>23</v>
      </c>
      <c r="J25" s="70">
        <f>I25+1</f>
        <v>24</v>
      </c>
      <c r="K25" s="70">
        <f>J25+1</f>
        <v>25</v>
      </c>
      <c r="L25" s="70">
        <f>K25+1</f>
        <v>26</v>
      </c>
      <c r="M25" s="161"/>
    </row>
    <row r="26" spans="1:13" ht="85.05" customHeight="1" thickBot="1" x14ac:dyDescent="0.35">
      <c r="B26" s="80" t="s">
        <v>296</v>
      </c>
      <c r="C26" s="85" t="s">
        <v>297</v>
      </c>
      <c r="D26" s="74"/>
      <c r="E26" s="85" t="s">
        <v>433</v>
      </c>
      <c r="F26" s="77"/>
      <c r="H26" s="86" t="s">
        <v>300</v>
      </c>
      <c r="I26" s="90" t="s">
        <v>278</v>
      </c>
      <c r="J26" s="90" t="s">
        <v>278</v>
      </c>
      <c r="K26" s="90" t="s">
        <v>278</v>
      </c>
      <c r="L26" s="90" t="s">
        <v>278</v>
      </c>
    </row>
    <row r="27" spans="1:13" s="67" customFormat="1" ht="23.4" x14ac:dyDescent="0.45">
      <c r="A27" s="161"/>
      <c r="B27" s="70">
        <f>F25+3</f>
        <v>31</v>
      </c>
      <c r="C27" s="157"/>
      <c r="D27" s="157"/>
      <c r="E27" s="157"/>
      <c r="F27" s="157"/>
      <c r="G27" s="161"/>
      <c r="H27" s="70">
        <f>L25+3</f>
        <v>29</v>
      </c>
      <c r="I27" s="70">
        <f>H27+1</f>
        <v>30</v>
      </c>
      <c r="J27" s="70">
        <f>I27+1</f>
        <v>31</v>
      </c>
      <c r="K27" s="161"/>
      <c r="L27" s="161"/>
      <c r="M27" s="161"/>
    </row>
    <row r="28" spans="1:13" ht="85.05" customHeight="1" thickBot="1" x14ac:dyDescent="0.35">
      <c r="B28" s="85" t="s">
        <v>297</v>
      </c>
      <c r="C28" s="158"/>
      <c r="D28" s="159"/>
      <c r="E28" s="158"/>
      <c r="F28" s="158"/>
      <c r="H28" s="90" t="s">
        <v>278</v>
      </c>
      <c r="I28" s="90" t="s">
        <v>278</v>
      </c>
      <c r="J28" s="90" t="s">
        <v>278</v>
      </c>
      <c r="K28" s="162"/>
      <c r="L28" s="162"/>
    </row>
    <row r="29" spans="1:13" s="162" customFormat="1" x14ac:dyDescent="0.3"/>
    <row r="30" spans="1:13" s="162" customFormat="1" ht="15" thickBot="1" x14ac:dyDescent="0.35"/>
    <row r="31" spans="1:13" ht="37.200000000000003" thickBot="1" x14ac:dyDescent="0.35">
      <c r="B31" s="172" t="s">
        <v>274</v>
      </c>
      <c r="C31" s="173"/>
      <c r="D31" s="173"/>
      <c r="E31" s="173"/>
      <c r="F31" s="174"/>
      <c r="H31" s="172" t="s">
        <v>275</v>
      </c>
      <c r="I31" s="173"/>
      <c r="J31" s="173"/>
      <c r="K31" s="173"/>
      <c r="L31" s="174"/>
    </row>
    <row r="32" spans="1:13" s="68" customFormat="1" ht="15" thickBot="1" x14ac:dyDescent="0.35">
      <c r="A32" s="163"/>
      <c r="B32" s="71" t="s">
        <v>265</v>
      </c>
      <c r="C32" s="71" t="s">
        <v>266</v>
      </c>
      <c r="D32" s="71" t="s">
        <v>267</v>
      </c>
      <c r="E32" s="71" t="s">
        <v>268</v>
      </c>
      <c r="F32" s="71" t="s">
        <v>269</v>
      </c>
      <c r="G32" s="163"/>
      <c r="H32" s="71" t="s">
        <v>265</v>
      </c>
      <c r="I32" s="71" t="s">
        <v>266</v>
      </c>
      <c r="J32" s="71" t="s">
        <v>267</v>
      </c>
      <c r="K32" s="71" t="s">
        <v>268</v>
      </c>
      <c r="L32" s="71" t="s">
        <v>269</v>
      </c>
      <c r="M32" s="163"/>
    </row>
    <row r="33" spans="1:13" s="67" customFormat="1" ht="23.4" x14ac:dyDescent="0.45">
      <c r="A33" s="161"/>
      <c r="B33" s="82"/>
      <c r="C33" s="84"/>
      <c r="D33" s="73"/>
      <c r="E33" s="70">
        <v>1</v>
      </c>
      <c r="F33" s="70">
        <f>E33+1</f>
        <v>2</v>
      </c>
      <c r="G33" s="161"/>
      <c r="H33" s="70">
        <v>2</v>
      </c>
      <c r="I33" s="70">
        <f>H33+1</f>
        <v>3</v>
      </c>
      <c r="J33" s="73">
        <f>I33+1</f>
        <v>4</v>
      </c>
      <c r="K33" s="70">
        <f>J33+1</f>
        <v>5</v>
      </c>
      <c r="L33" s="70">
        <f>K33+1</f>
        <v>6</v>
      </c>
      <c r="M33" s="161"/>
    </row>
    <row r="34" spans="1:13" ht="85.05" customHeight="1" thickBot="1" x14ac:dyDescent="0.35">
      <c r="B34" s="83"/>
      <c r="C34" s="69"/>
      <c r="D34" s="74"/>
      <c r="E34" s="90" t="s">
        <v>278</v>
      </c>
      <c r="F34" s="90" t="s">
        <v>278</v>
      </c>
      <c r="H34" s="87" t="s">
        <v>307</v>
      </c>
      <c r="I34" s="87" t="s">
        <v>307</v>
      </c>
      <c r="J34" s="74"/>
      <c r="K34" s="87" t="s">
        <v>307</v>
      </c>
      <c r="L34" s="77"/>
    </row>
    <row r="35" spans="1:13" s="67" customFormat="1" ht="23.4" x14ac:dyDescent="0.45">
      <c r="A35" s="161"/>
      <c r="B35" s="72">
        <f>F33+3</f>
        <v>5</v>
      </c>
      <c r="C35" s="70">
        <f>B35+1</f>
        <v>6</v>
      </c>
      <c r="D35" s="73">
        <f>C35+1</f>
        <v>7</v>
      </c>
      <c r="E35" s="70">
        <f>D35+1</f>
        <v>8</v>
      </c>
      <c r="F35" s="70">
        <f>E35+1</f>
        <v>9</v>
      </c>
      <c r="G35" s="161"/>
      <c r="H35" s="72">
        <f>L33+3</f>
        <v>9</v>
      </c>
      <c r="I35" s="70">
        <f>H35+1</f>
        <v>10</v>
      </c>
      <c r="J35" s="76">
        <f>I35+1</f>
        <v>11</v>
      </c>
      <c r="K35" s="70">
        <f>J35+1</f>
        <v>12</v>
      </c>
      <c r="L35" s="72">
        <f>K35+1</f>
        <v>13</v>
      </c>
      <c r="M35" s="161"/>
    </row>
    <row r="36" spans="1:13" ht="85.05" customHeight="1" thickBot="1" x14ac:dyDescent="0.35">
      <c r="B36" s="90" t="s">
        <v>278</v>
      </c>
      <c r="C36" s="90" t="s">
        <v>278</v>
      </c>
      <c r="D36" s="74"/>
      <c r="E36" s="160" t="s">
        <v>303</v>
      </c>
      <c r="F36" s="77"/>
      <c r="H36" s="87" t="s">
        <v>306</v>
      </c>
      <c r="I36" s="87" t="s">
        <v>306</v>
      </c>
      <c r="J36" s="75"/>
      <c r="K36" s="80" t="s">
        <v>305</v>
      </c>
      <c r="L36" s="77"/>
    </row>
    <row r="37" spans="1:13" s="67" customFormat="1" ht="23.4" x14ac:dyDescent="0.45">
      <c r="A37" s="161"/>
      <c r="B37" s="72">
        <f>F35+3</f>
        <v>12</v>
      </c>
      <c r="C37" s="70">
        <f>B37+1</f>
        <v>13</v>
      </c>
      <c r="D37" s="76">
        <f>C37+1</f>
        <v>14</v>
      </c>
      <c r="E37" s="70">
        <f>D37+1</f>
        <v>15</v>
      </c>
      <c r="F37" s="72">
        <f>E37+1</f>
        <v>16</v>
      </c>
      <c r="G37" s="161"/>
      <c r="H37" s="70">
        <f>L35+3</f>
        <v>16</v>
      </c>
      <c r="I37" s="72">
        <f>H37+1</f>
        <v>17</v>
      </c>
      <c r="J37" s="73">
        <f>I37+1</f>
        <v>18</v>
      </c>
      <c r="K37" s="72">
        <f>J37+1</f>
        <v>19</v>
      </c>
      <c r="L37" s="70">
        <f>K37+1</f>
        <v>20</v>
      </c>
      <c r="M37" s="161"/>
    </row>
    <row r="38" spans="1:13" ht="85.05" customHeight="1" thickBot="1" x14ac:dyDescent="0.35">
      <c r="B38" s="86" t="s">
        <v>303</v>
      </c>
      <c r="C38" s="86" t="s">
        <v>303</v>
      </c>
      <c r="D38" s="75"/>
      <c r="E38" s="86" t="s">
        <v>303</v>
      </c>
      <c r="F38" s="77"/>
      <c r="H38" s="88" t="s">
        <v>437</v>
      </c>
      <c r="I38" s="88" t="s">
        <v>438</v>
      </c>
      <c r="J38" s="75"/>
      <c r="K38" s="171" t="s">
        <v>443</v>
      </c>
      <c r="L38" s="89"/>
    </row>
    <row r="39" spans="1:13" s="67" customFormat="1" ht="23.4" x14ac:dyDescent="0.45">
      <c r="A39" s="161"/>
      <c r="B39" s="70">
        <f>F37+3</f>
        <v>19</v>
      </c>
      <c r="C39" s="72">
        <f>B39+1</f>
        <v>20</v>
      </c>
      <c r="D39" s="73">
        <f>C39+1</f>
        <v>21</v>
      </c>
      <c r="E39" s="72">
        <f>D39+1</f>
        <v>22</v>
      </c>
      <c r="F39" s="70">
        <f>E39+1</f>
        <v>23</v>
      </c>
      <c r="G39" s="161"/>
      <c r="H39" s="70">
        <f>L37+3</f>
        <v>23</v>
      </c>
      <c r="I39" s="73">
        <f>H39+1</f>
        <v>24</v>
      </c>
      <c r="J39" s="73">
        <f>I39+1</f>
        <v>25</v>
      </c>
      <c r="K39" s="73">
        <f>J39+1</f>
        <v>26</v>
      </c>
      <c r="L39" s="73">
        <f>K39+1</f>
        <v>27</v>
      </c>
      <c r="M39" s="161"/>
    </row>
    <row r="40" spans="1:13" ht="85.05" customHeight="1" thickBot="1" x14ac:dyDescent="0.35">
      <c r="B40" s="86" t="s">
        <v>303</v>
      </c>
      <c r="C40" s="86" t="s">
        <v>303</v>
      </c>
      <c r="D40" s="74"/>
      <c r="E40" s="86" t="s">
        <v>303</v>
      </c>
      <c r="F40" s="77"/>
      <c r="H40" s="89" t="s">
        <v>445</v>
      </c>
      <c r="I40" s="89" t="s">
        <v>446</v>
      </c>
      <c r="J40" s="89" t="s">
        <v>446</v>
      </c>
      <c r="K40" s="89" t="s">
        <v>446</v>
      </c>
      <c r="L40" s="89" t="s">
        <v>446</v>
      </c>
    </row>
    <row r="41" spans="1:13" s="67" customFormat="1" ht="23.4" x14ac:dyDescent="0.45">
      <c r="A41" s="161"/>
      <c r="B41" s="70">
        <f>F39+3</f>
        <v>26</v>
      </c>
      <c r="C41" s="70">
        <f>B41+1</f>
        <v>27</v>
      </c>
      <c r="D41" s="76">
        <f>C41+1</f>
        <v>28</v>
      </c>
      <c r="E41" s="70">
        <f>D41+1</f>
        <v>29</v>
      </c>
      <c r="F41" s="72">
        <f>E41+1</f>
        <v>30</v>
      </c>
      <c r="G41" s="161"/>
      <c r="H41"/>
      <c r="I41"/>
      <c r="J41"/>
      <c r="K41"/>
      <c r="L41"/>
      <c r="M41" s="161"/>
    </row>
    <row r="42" spans="1:13" ht="85.05" customHeight="1" thickBot="1" x14ac:dyDescent="0.35">
      <c r="B42" s="80" t="s">
        <v>304</v>
      </c>
      <c r="C42" s="87" t="s">
        <v>307</v>
      </c>
      <c r="D42" s="74"/>
      <c r="E42" s="87" t="s">
        <v>307</v>
      </c>
      <c r="F42" s="77"/>
    </row>
    <row r="43" spans="1:13" x14ac:dyDescent="0.3">
      <c r="B43" s="162"/>
      <c r="C43" s="162"/>
      <c r="D43" s="162"/>
      <c r="E43" s="162"/>
      <c r="F43" s="162"/>
    </row>
    <row r="44" spans="1:13" x14ac:dyDescent="0.3">
      <c r="B44" s="162"/>
      <c r="C44" s="162"/>
      <c r="D44" s="162"/>
      <c r="E44" s="162"/>
      <c r="F44" s="162"/>
    </row>
    <row r="45" spans="1:13" x14ac:dyDescent="0.3">
      <c r="B45" s="162"/>
      <c r="C45" s="162"/>
      <c r="D45" s="162"/>
      <c r="E45" s="162"/>
      <c r="F45" s="162"/>
    </row>
    <row r="46" spans="1:13" x14ac:dyDescent="0.3">
      <c r="B46" s="162"/>
      <c r="C46" s="162"/>
      <c r="D46" s="162"/>
      <c r="E46" s="162"/>
      <c r="F46" s="162"/>
    </row>
    <row r="47" spans="1:13" x14ac:dyDescent="0.3">
      <c r="B47" s="162"/>
      <c r="C47" s="162"/>
      <c r="D47" s="162"/>
      <c r="E47" s="162"/>
      <c r="F47" s="162"/>
    </row>
    <row r="48" spans="1:13" x14ac:dyDescent="0.3">
      <c r="B48" s="162"/>
      <c r="C48" s="162"/>
      <c r="D48" s="162"/>
      <c r="E48" s="162"/>
      <c r="F48" s="162"/>
    </row>
  </sheetData>
  <mergeCells count="6">
    <mergeCell ref="B2:F2"/>
    <mergeCell ref="H2:L2"/>
    <mergeCell ref="B17:F17"/>
    <mergeCell ref="H17:L17"/>
    <mergeCell ref="B31:F31"/>
    <mergeCell ref="H31:L31"/>
  </mergeCells>
  <pageMargins left="0" right="0" top="0" bottom="0" header="0" footer="0"/>
  <pageSetup paperSize="9" scale="9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6CC7-A6D4-4673-9419-45029C87FA7E}">
  <dimension ref="A1:BF55"/>
  <sheetViews>
    <sheetView workbookViewId="0">
      <pane xSplit="2" ySplit="1" topLeftCell="AM2" activePane="bottomRight" state="frozen"/>
      <selection pane="topRight" activeCell="C1" sqref="C1"/>
      <selection pane="bottomLeft" activeCell="A2" sqref="A2"/>
      <selection pane="bottomRight" activeCell="AX32" sqref="AX32"/>
    </sheetView>
  </sheetViews>
  <sheetFormatPr defaultColWidth="11.5546875" defaultRowHeight="14.4" x14ac:dyDescent="0.3"/>
  <cols>
    <col min="1" max="1" width="5.88671875" style="95" bestFit="1" customWidth="1"/>
    <col min="2" max="2" width="7.6640625" style="95" customWidth="1"/>
    <col min="3" max="16384" width="11.5546875" style="95"/>
  </cols>
  <sheetData>
    <row r="1" spans="1:58" s="68" customFormat="1" x14ac:dyDescent="0.3">
      <c r="A1" s="68" t="s">
        <v>375</v>
      </c>
      <c r="C1" s="68" t="s">
        <v>316</v>
      </c>
      <c r="D1" s="68" t="s">
        <v>317</v>
      </c>
      <c r="E1" s="68" t="s">
        <v>318</v>
      </c>
      <c r="F1" s="68" t="s">
        <v>368</v>
      </c>
      <c r="G1" s="68" t="s">
        <v>315</v>
      </c>
      <c r="H1" s="68" t="s">
        <v>319</v>
      </c>
      <c r="I1" s="68" t="s">
        <v>320</v>
      </c>
      <c r="J1" s="68" t="s">
        <v>321</v>
      </c>
      <c r="K1" s="68" t="s">
        <v>322</v>
      </c>
      <c r="L1" s="68" t="s">
        <v>369</v>
      </c>
      <c r="M1" s="68" t="s">
        <v>323</v>
      </c>
      <c r="N1" s="68" t="s">
        <v>324</v>
      </c>
      <c r="O1" s="68" t="s">
        <v>325</v>
      </c>
      <c r="P1" s="68" t="s">
        <v>326</v>
      </c>
      <c r="Q1" s="68" t="s">
        <v>327</v>
      </c>
      <c r="R1" s="68" t="s">
        <v>328</v>
      </c>
      <c r="S1" s="68" t="s">
        <v>329</v>
      </c>
      <c r="T1" s="68" t="s">
        <v>370</v>
      </c>
      <c r="U1" s="68" t="s">
        <v>330</v>
      </c>
      <c r="V1" s="68" t="s">
        <v>331</v>
      </c>
      <c r="W1" s="68" t="s">
        <v>332</v>
      </c>
      <c r="X1" s="68" t="s">
        <v>333</v>
      </c>
      <c r="Y1" s="68" t="s">
        <v>334</v>
      </c>
      <c r="Z1" s="68" t="s">
        <v>335</v>
      </c>
      <c r="AA1" s="68" t="s">
        <v>336</v>
      </c>
      <c r="AB1" s="68" t="s">
        <v>371</v>
      </c>
      <c r="AC1" s="68" t="s">
        <v>337</v>
      </c>
      <c r="AD1" s="68" t="s">
        <v>338</v>
      </c>
      <c r="AE1" s="68" t="s">
        <v>339</v>
      </c>
      <c r="AF1" s="68" t="s">
        <v>340</v>
      </c>
      <c r="AG1" s="68" t="s">
        <v>341</v>
      </c>
      <c r="AH1" s="68" t="s">
        <v>342</v>
      </c>
      <c r="AI1" s="68" t="s">
        <v>343</v>
      </c>
      <c r="AJ1" s="68" t="s">
        <v>344</v>
      </c>
      <c r="AK1" s="68" t="s">
        <v>372</v>
      </c>
      <c r="AL1" s="68" t="s">
        <v>345</v>
      </c>
      <c r="AM1" s="68" t="s">
        <v>346</v>
      </c>
      <c r="AN1" s="68" t="s">
        <v>347</v>
      </c>
      <c r="AO1" s="68" t="s">
        <v>348</v>
      </c>
      <c r="AP1" s="68" t="s">
        <v>349</v>
      </c>
      <c r="AQ1" s="68" t="s">
        <v>350</v>
      </c>
      <c r="AR1" s="68" t="s">
        <v>351</v>
      </c>
      <c r="AS1" s="68" t="s">
        <v>373</v>
      </c>
      <c r="AT1" s="68" t="s">
        <v>352</v>
      </c>
      <c r="AU1" s="68" t="s">
        <v>353</v>
      </c>
      <c r="AV1" s="68" t="s">
        <v>354</v>
      </c>
      <c r="AW1" s="68" t="s">
        <v>355</v>
      </c>
      <c r="AX1" s="68" t="s">
        <v>356</v>
      </c>
      <c r="AY1" s="68" t="s">
        <v>357</v>
      </c>
      <c r="AZ1" s="68" t="s">
        <v>358</v>
      </c>
      <c r="BA1" s="68" t="s">
        <v>374</v>
      </c>
      <c r="BB1" s="68" t="s">
        <v>359</v>
      </c>
      <c r="BC1" s="68" t="s">
        <v>360</v>
      </c>
      <c r="BD1" s="68" t="s">
        <v>361</v>
      </c>
      <c r="BE1" s="68" t="s">
        <v>362</v>
      </c>
      <c r="BF1" s="68" t="s">
        <v>363</v>
      </c>
    </row>
    <row r="2" spans="1:58" x14ac:dyDescent="0.3">
      <c r="A2" s="95" t="s">
        <v>364</v>
      </c>
      <c r="B2" s="96">
        <v>0.4</v>
      </c>
      <c r="C2" s="97"/>
      <c r="D2" s="98"/>
      <c r="E2" s="98"/>
      <c r="F2" s="98"/>
      <c r="G2" s="98">
        <v>1</v>
      </c>
      <c r="H2" s="98"/>
      <c r="I2" s="98">
        <v>1</v>
      </c>
      <c r="J2" s="98"/>
      <c r="K2" s="98"/>
      <c r="L2" s="98"/>
      <c r="M2" s="98"/>
      <c r="N2" s="98"/>
      <c r="O2" s="98"/>
      <c r="P2" s="98"/>
    </row>
    <row r="3" spans="1:58" x14ac:dyDescent="0.3">
      <c r="A3" s="95" t="s">
        <v>367</v>
      </c>
      <c r="B3" s="96">
        <v>0.3</v>
      </c>
      <c r="C3" s="98"/>
      <c r="D3" s="98">
        <v>1</v>
      </c>
      <c r="E3" s="98">
        <v>1</v>
      </c>
      <c r="F3" s="98"/>
      <c r="G3" s="98"/>
      <c r="H3" s="98">
        <v>1</v>
      </c>
      <c r="I3" s="98"/>
      <c r="J3" s="98">
        <v>1</v>
      </c>
      <c r="K3" s="98">
        <v>1</v>
      </c>
      <c r="L3" s="98">
        <v>1</v>
      </c>
      <c r="M3" s="98">
        <v>1</v>
      </c>
      <c r="N3" s="98">
        <v>1</v>
      </c>
      <c r="O3" s="98">
        <v>1</v>
      </c>
      <c r="P3" s="98">
        <v>1</v>
      </c>
    </row>
    <row r="4" spans="1:58" x14ac:dyDescent="0.3">
      <c r="A4" s="95" t="s">
        <v>376</v>
      </c>
      <c r="B4" s="96">
        <v>0.2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>
        <v>1</v>
      </c>
      <c r="N4" s="98">
        <v>1</v>
      </c>
      <c r="O4" s="98"/>
      <c r="P4" s="98">
        <v>1</v>
      </c>
    </row>
    <row r="5" spans="1:58" s="99" customFormat="1" x14ac:dyDescent="0.3">
      <c r="A5" s="99" t="s">
        <v>377</v>
      </c>
      <c r="B5" s="100">
        <v>0.1</v>
      </c>
      <c r="C5" s="101">
        <v>1</v>
      </c>
      <c r="D5" s="101"/>
      <c r="E5" s="101"/>
      <c r="F5" s="101">
        <v>1</v>
      </c>
      <c r="G5" s="101"/>
      <c r="H5" s="101"/>
      <c r="I5" s="101">
        <v>1</v>
      </c>
      <c r="J5" s="101"/>
      <c r="K5" s="101"/>
      <c r="L5" s="101"/>
      <c r="M5" s="101"/>
      <c r="N5" s="101"/>
      <c r="O5" s="101"/>
      <c r="P5" s="101">
        <v>1</v>
      </c>
    </row>
    <row r="6" spans="1:58" x14ac:dyDescent="0.3">
      <c r="A6" s="95" t="s">
        <v>378</v>
      </c>
      <c r="B6" s="96">
        <v>0.4</v>
      </c>
      <c r="Q6" s="102">
        <v>1</v>
      </c>
      <c r="R6" s="102">
        <v>1</v>
      </c>
      <c r="S6" s="102">
        <v>1</v>
      </c>
      <c r="T6" s="102">
        <v>1</v>
      </c>
      <c r="U6" s="102">
        <v>1</v>
      </c>
      <c r="V6" s="102">
        <v>1</v>
      </c>
      <c r="W6" s="102">
        <v>1</v>
      </c>
      <c r="X6" s="102">
        <v>1</v>
      </c>
      <c r="Y6" s="102">
        <v>1</v>
      </c>
      <c r="Z6" s="102">
        <v>1</v>
      </c>
      <c r="AA6" s="102">
        <v>1</v>
      </c>
      <c r="AB6" s="102">
        <v>1</v>
      </c>
      <c r="AC6" s="102">
        <v>1</v>
      </c>
      <c r="AD6" s="102">
        <v>1</v>
      </c>
      <c r="AE6" s="102">
        <v>1</v>
      </c>
      <c r="AF6" s="102">
        <v>1</v>
      </c>
      <c r="AG6" s="102">
        <v>1</v>
      </c>
      <c r="AX6" s="102">
        <v>1</v>
      </c>
      <c r="AY6" s="102">
        <v>1</v>
      </c>
      <c r="AZ6" s="102">
        <v>1</v>
      </c>
      <c r="BA6" s="102">
        <v>1</v>
      </c>
      <c r="BB6" s="102">
        <v>1</v>
      </c>
      <c r="BC6" s="102">
        <v>1</v>
      </c>
      <c r="BD6" s="102">
        <v>1</v>
      </c>
      <c r="BE6" s="102">
        <v>1</v>
      </c>
      <c r="BF6" s="102">
        <v>1</v>
      </c>
    </row>
    <row r="7" spans="1:58" x14ac:dyDescent="0.3">
      <c r="A7" s="95" t="s">
        <v>365</v>
      </c>
      <c r="B7" s="96">
        <v>0.15</v>
      </c>
      <c r="Q7" s="102"/>
      <c r="R7" s="102"/>
      <c r="S7" s="102"/>
      <c r="T7" s="102"/>
      <c r="U7" s="102"/>
      <c r="V7" s="102"/>
      <c r="W7" s="102"/>
      <c r="X7" s="102"/>
      <c r="Y7" s="102">
        <v>1</v>
      </c>
      <c r="Z7" s="102">
        <v>1</v>
      </c>
      <c r="AA7" s="102">
        <v>1</v>
      </c>
      <c r="AB7" s="102">
        <v>1</v>
      </c>
      <c r="AC7" s="102">
        <v>1</v>
      </c>
      <c r="AD7" s="102">
        <v>1</v>
      </c>
      <c r="AE7" s="102">
        <v>1</v>
      </c>
      <c r="AF7" s="102">
        <v>1</v>
      </c>
      <c r="AG7" s="102">
        <v>1</v>
      </c>
      <c r="AX7" s="102"/>
      <c r="AY7" s="102"/>
      <c r="AZ7" s="102"/>
      <c r="BA7" s="102"/>
      <c r="BB7" s="102"/>
      <c r="BC7" s="102"/>
      <c r="BD7" s="102"/>
      <c r="BE7" s="102"/>
      <c r="BF7" s="102"/>
    </row>
    <row r="8" spans="1:58" x14ac:dyDescent="0.3">
      <c r="A8" s="95" t="s">
        <v>379</v>
      </c>
      <c r="B8" s="96">
        <v>0.15</v>
      </c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X8" s="102">
        <v>1</v>
      </c>
      <c r="AY8" s="102">
        <v>1</v>
      </c>
      <c r="AZ8" s="102">
        <v>1</v>
      </c>
      <c r="BA8" s="102">
        <v>1</v>
      </c>
      <c r="BB8" s="102">
        <v>1</v>
      </c>
      <c r="BC8" s="102">
        <v>1</v>
      </c>
      <c r="BD8" s="102">
        <v>1</v>
      </c>
      <c r="BE8" s="102">
        <v>1</v>
      </c>
      <c r="BF8" s="102">
        <v>1</v>
      </c>
    </row>
    <row r="9" spans="1:58" x14ac:dyDescent="0.3">
      <c r="A9" s="95" t="s">
        <v>380</v>
      </c>
      <c r="B9" s="96">
        <v>0.1</v>
      </c>
      <c r="G9" s="96"/>
      <c r="I9" s="96"/>
      <c r="Q9" s="102">
        <v>1</v>
      </c>
      <c r="R9" s="102">
        <v>1</v>
      </c>
      <c r="S9" s="102">
        <v>1</v>
      </c>
      <c r="T9" s="102">
        <v>1</v>
      </c>
      <c r="U9" s="102">
        <v>1</v>
      </c>
      <c r="V9" s="102">
        <v>1</v>
      </c>
      <c r="W9" s="102">
        <v>1</v>
      </c>
      <c r="X9" s="102">
        <v>1</v>
      </c>
      <c r="Y9" s="102"/>
      <c r="Z9" s="102"/>
      <c r="AA9" s="102"/>
      <c r="AB9" s="102"/>
      <c r="AC9" s="102"/>
      <c r="AD9" s="102"/>
      <c r="AE9" s="102"/>
      <c r="AF9" s="102"/>
      <c r="AG9" s="102"/>
      <c r="AX9" s="102"/>
      <c r="AY9" s="102"/>
      <c r="AZ9" s="102"/>
      <c r="BA9" s="102"/>
      <c r="BB9" s="102"/>
      <c r="BC9" s="102"/>
      <c r="BD9" s="102"/>
      <c r="BE9" s="102"/>
      <c r="BF9" s="102"/>
    </row>
    <row r="10" spans="1:58" s="99" customFormat="1" x14ac:dyDescent="0.3">
      <c r="A10" s="99" t="s">
        <v>381</v>
      </c>
      <c r="B10" s="100">
        <v>0.2</v>
      </c>
      <c r="Q10" s="103">
        <v>1</v>
      </c>
      <c r="R10" s="103">
        <v>1</v>
      </c>
      <c r="S10" s="103">
        <v>1</v>
      </c>
      <c r="T10" s="103">
        <v>1</v>
      </c>
      <c r="U10" s="103">
        <v>1</v>
      </c>
      <c r="V10" s="103">
        <v>1</v>
      </c>
      <c r="W10" s="103">
        <v>1</v>
      </c>
      <c r="X10" s="103">
        <v>1</v>
      </c>
      <c r="Y10" s="103">
        <v>1</v>
      </c>
      <c r="Z10" s="103">
        <v>1</v>
      </c>
      <c r="AA10" s="103">
        <v>1</v>
      </c>
      <c r="AB10" s="103">
        <v>1</v>
      </c>
      <c r="AC10" s="103">
        <v>1</v>
      </c>
      <c r="AD10" s="103">
        <v>1</v>
      </c>
      <c r="AE10" s="103">
        <v>1</v>
      </c>
      <c r="AF10" s="103">
        <v>1</v>
      </c>
      <c r="AG10" s="103">
        <v>1</v>
      </c>
      <c r="AX10" s="103">
        <v>1</v>
      </c>
      <c r="AY10" s="103">
        <v>1</v>
      </c>
      <c r="AZ10" s="103">
        <v>1</v>
      </c>
      <c r="BA10" s="103">
        <v>1</v>
      </c>
      <c r="BB10" s="103">
        <v>1</v>
      </c>
      <c r="BC10" s="103">
        <v>1</v>
      </c>
      <c r="BD10" s="103">
        <v>1</v>
      </c>
      <c r="BE10" s="103">
        <v>1</v>
      </c>
      <c r="BF10" s="103">
        <v>1</v>
      </c>
    </row>
    <row r="11" spans="1:58" x14ac:dyDescent="0.3">
      <c r="A11" s="95" t="s">
        <v>382</v>
      </c>
      <c r="B11" s="96">
        <v>0.2</v>
      </c>
      <c r="AH11" s="104">
        <v>1</v>
      </c>
      <c r="AI11" s="104">
        <v>1</v>
      </c>
      <c r="AJ11" s="104">
        <v>1</v>
      </c>
      <c r="AK11" s="104">
        <v>1</v>
      </c>
      <c r="AL11" s="104">
        <v>1</v>
      </c>
      <c r="AM11" s="104">
        <v>1</v>
      </c>
      <c r="AN11" s="104">
        <v>1</v>
      </c>
      <c r="AO11" s="104">
        <v>1</v>
      </c>
      <c r="AX11" s="104">
        <v>1</v>
      </c>
      <c r="AY11" s="104">
        <v>1</v>
      </c>
      <c r="AZ11" s="104">
        <v>1</v>
      </c>
      <c r="BA11" s="104">
        <v>1</v>
      </c>
      <c r="BB11" s="104">
        <v>1</v>
      </c>
      <c r="BC11" s="104">
        <v>1</v>
      </c>
      <c r="BD11" s="104">
        <v>1</v>
      </c>
      <c r="BE11" s="104">
        <v>1</v>
      </c>
      <c r="BF11" s="104">
        <v>1</v>
      </c>
    </row>
    <row r="12" spans="1:58" x14ac:dyDescent="0.3">
      <c r="A12" s="95" t="s">
        <v>383</v>
      </c>
      <c r="B12" s="96">
        <v>0.2</v>
      </c>
      <c r="AH12" s="104">
        <v>1</v>
      </c>
      <c r="AI12" s="104">
        <v>1</v>
      </c>
      <c r="AJ12" s="104">
        <v>1</v>
      </c>
      <c r="AK12" s="104">
        <v>1</v>
      </c>
      <c r="AL12" s="104">
        <v>1</v>
      </c>
      <c r="AM12" s="104">
        <v>1</v>
      </c>
      <c r="AN12" s="104">
        <v>1</v>
      </c>
      <c r="AO12" s="104">
        <v>1</v>
      </c>
      <c r="AX12" s="104"/>
      <c r="AY12" s="104"/>
      <c r="AZ12" s="104"/>
      <c r="BA12" s="104"/>
      <c r="BB12" s="104"/>
      <c r="BC12" s="104"/>
      <c r="BD12" s="104"/>
      <c r="BE12" s="104"/>
      <c r="BF12" s="104"/>
    </row>
    <row r="13" spans="1:58" x14ac:dyDescent="0.3">
      <c r="A13" s="95" t="s">
        <v>366</v>
      </c>
      <c r="B13" s="96">
        <v>0.2</v>
      </c>
      <c r="AH13" s="104"/>
      <c r="AI13" s="104"/>
      <c r="AJ13" s="104"/>
      <c r="AK13" s="104"/>
      <c r="AL13" s="104"/>
      <c r="AM13" s="104"/>
      <c r="AN13" s="104"/>
      <c r="AO13" s="104"/>
      <c r="AX13" s="104">
        <v>1</v>
      </c>
      <c r="AY13" s="104">
        <v>1</v>
      </c>
      <c r="AZ13" s="104">
        <v>1</v>
      </c>
      <c r="BA13" s="104">
        <v>1</v>
      </c>
      <c r="BB13" s="104">
        <v>1</v>
      </c>
      <c r="BC13" s="104">
        <v>1</v>
      </c>
      <c r="BD13" s="104">
        <v>1</v>
      </c>
      <c r="BE13" s="104">
        <v>1</v>
      </c>
      <c r="BF13" s="104">
        <v>1</v>
      </c>
    </row>
    <row r="14" spans="1:58" x14ac:dyDescent="0.3">
      <c r="A14" s="95" t="s">
        <v>384</v>
      </c>
      <c r="B14" s="96">
        <v>0.2</v>
      </c>
      <c r="AH14" s="104"/>
      <c r="AI14" s="104"/>
      <c r="AJ14" s="104"/>
      <c r="AK14" s="104"/>
      <c r="AL14" s="104"/>
      <c r="AM14" s="104"/>
      <c r="AN14" s="104"/>
      <c r="AO14" s="104"/>
      <c r="AX14" s="104">
        <v>1</v>
      </c>
      <c r="AY14" s="104">
        <v>1</v>
      </c>
      <c r="AZ14" s="104">
        <v>1</v>
      </c>
      <c r="BA14" s="104">
        <v>1</v>
      </c>
      <c r="BB14" s="104">
        <v>1</v>
      </c>
      <c r="BC14" s="104">
        <v>1</v>
      </c>
      <c r="BD14" s="104">
        <v>1</v>
      </c>
      <c r="BE14" s="104">
        <v>1</v>
      </c>
      <c r="BF14" s="104">
        <v>1</v>
      </c>
    </row>
    <row r="15" spans="1:58" s="99" customFormat="1" x14ac:dyDescent="0.3">
      <c r="A15" s="99" t="s">
        <v>385</v>
      </c>
      <c r="B15" s="100">
        <v>0.2</v>
      </c>
      <c r="AH15" s="104">
        <v>1</v>
      </c>
      <c r="AI15" s="104">
        <v>1</v>
      </c>
      <c r="AJ15" s="104">
        <v>1</v>
      </c>
      <c r="AK15" s="104">
        <v>1</v>
      </c>
      <c r="AL15" s="104">
        <v>1</v>
      </c>
      <c r="AM15" s="104">
        <v>1</v>
      </c>
      <c r="AN15" s="104">
        <v>1</v>
      </c>
      <c r="AO15" s="104">
        <v>1</v>
      </c>
      <c r="AP15" s="95"/>
      <c r="AQ15" s="95"/>
      <c r="AR15" s="95"/>
      <c r="AS15" s="95"/>
      <c r="AT15" s="95"/>
      <c r="AU15" s="95"/>
      <c r="AV15" s="95"/>
      <c r="AW15" s="95"/>
      <c r="AX15" s="104">
        <v>1</v>
      </c>
      <c r="AY15" s="104">
        <v>1</v>
      </c>
      <c r="AZ15" s="104">
        <v>1</v>
      </c>
      <c r="BA15" s="104">
        <v>1</v>
      </c>
      <c r="BB15" s="104">
        <v>1</v>
      </c>
      <c r="BC15" s="104">
        <v>1</v>
      </c>
      <c r="BD15" s="104">
        <v>1</v>
      </c>
      <c r="BE15" s="104">
        <v>1</v>
      </c>
      <c r="BF15" s="104">
        <v>1</v>
      </c>
    </row>
    <row r="16" spans="1:58" x14ac:dyDescent="0.3">
      <c r="A16" s="95" t="s">
        <v>386</v>
      </c>
      <c r="B16" s="96">
        <v>0.4</v>
      </c>
      <c r="G16" s="96"/>
      <c r="I16" s="96"/>
      <c r="Y16" s="105">
        <v>1</v>
      </c>
      <c r="Z16" s="105">
        <v>1</v>
      </c>
      <c r="AA16" s="105">
        <v>1</v>
      </c>
      <c r="AB16" s="105">
        <v>1</v>
      </c>
      <c r="AC16" s="105">
        <v>1</v>
      </c>
      <c r="AD16" s="105">
        <v>1</v>
      </c>
      <c r="AE16" s="105">
        <v>1</v>
      </c>
      <c r="AF16" s="105">
        <v>1</v>
      </c>
      <c r="AG16" s="105">
        <v>1</v>
      </c>
      <c r="AP16" s="105">
        <v>1</v>
      </c>
      <c r="AQ16" s="105">
        <v>1</v>
      </c>
      <c r="AR16" s="105">
        <v>1</v>
      </c>
      <c r="AS16" s="105">
        <v>1</v>
      </c>
      <c r="AT16" s="105">
        <v>1</v>
      </c>
      <c r="AU16" s="105">
        <v>1</v>
      </c>
      <c r="AV16" s="105">
        <v>1</v>
      </c>
      <c r="AW16" s="105">
        <v>1</v>
      </c>
    </row>
    <row r="17" spans="1:58" x14ac:dyDescent="0.3">
      <c r="A17" s="95" t="s">
        <v>387</v>
      </c>
      <c r="B17" s="96">
        <v>0.1</v>
      </c>
      <c r="Y17" s="105"/>
      <c r="Z17" s="105"/>
      <c r="AA17" s="105"/>
      <c r="AB17" s="105"/>
      <c r="AC17" s="105"/>
      <c r="AD17" s="105"/>
      <c r="AE17" s="105"/>
      <c r="AF17" s="105"/>
      <c r="AG17" s="105"/>
      <c r="AP17" s="105">
        <v>1</v>
      </c>
      <c r="AQ17" s="105">
        <v>1</v>
      </c>
      <c r="AR17" s="105">
        <v>1</v>
      </c>
      <c r="AS17" s="105">
        <v>1</v>
      </c>
      <c r="AT17" s="105">
        <v>1</v>
      </c>
      <c r="AU17" s="105">
        <v>1</v>
      </c>
      <c r="AV17" s="105">
        <v>1</v>
      </c>
      <c r="AW17" s="105">
        <v>1</v>
      </c>
    </row>
    <row r="18" spans="1:58" x14ac:dyDescent="0.3">
      <c r="A18" s="95" t="s">
        <v>388</v>
      </c>
      <c r="B18" s="96">
        <v>0.3</v>
      </c>
      <c r="Y18" s="105">
        <v>1</v>
      </c>
      <c r="Z18" s="105">
        <v>1</v>
      </c>
      <c r="AA18" s="105">
        <v>1</v>
      </c>
      <c r="AB18" s="105">
        <v>1</v>
      </c>
      <c r="AC18" s="105">
        <v>1</v>
      </c>
      <c r="AD18" s="105">
        <v>1</v>
      </c>
      <c r="AE18" s="105">
        <v>1</v>
      </c>
      <c r="AF18" s="105">
        <v>1</v>
      </c>
      <c r="AG18" s="105">
        <v>1</v>
      </c>
      <c r="AP18" s="105">
        <v>1</v>
      </c>
      <c r="AQ18" s="105">
        <v>1</v>
      </c>
      <c r="AR18" s="105">
        <v>1</v>
      </c>
      <c r="AS18" s="105">
        <v>1</v>
      </c>
      <c r="AT18" s="105">
        <v>1</v>
      </c>
      <c r="AU18" s="105">
        <v>1</v>
      </c>
      <c r="AV18" s="105">
        <v>1</v>
      </c>
      <c r="AW18" s="105">
        <v>1</v>
      </c>
    </row>
    <row r="19" spans="1:58" x14ac:dyDescent="0.3">
      <c r="A19" s="95" t="s">
        <v>389</v>
      </c>
      <c r="B19" s="96">
        <v>0.1</v>
      </c>
      <c r="Y19" s="105">
        <v>1</v>
      </c>
      <c r="Z19" s="105">
        <v>1</v>
      </c>
      <c r="AA19" s="105">
        <v>1</v>
      </c>
      <c r="AB19" s="105">
        <v>1</v>
      </c>
      <c r="AC19" s="105">
        <v>1</v>
      </c>
      <c r="AD19" s="105">
        <v>1</v>
      </c>
      <c r="AE19" s="105">
        <v>1</v>
      </c>
      <c r="AF19" s="105">
        <v>1</v>
      </c>
      <c r="AG19" s="105">
        <v>1</v>
      </c>
      <c r="AP19" s="105"/>
      <c r="AQ19" s="105"/>
      <c r="AR19" s="105"/>
      <c r="AS19" s="105"/>
      <c r="AT19" s="105"/>
      <c r="AU19" s="105"/>
      <c r="AV19" s="105"/>
      <c r="AW19" s="105"/>
    </row>
    <row r="20" spans="1:58" s="99" customFormat="1" x14ac:dyDescent="0.3">
      <c r="A20" s="99" t="s">
        <v>390</v>
      </c>
      <c r="B20" s="100">
        <v>0.1</v>
      </c>
      <c r="Y20" s="105">
        <v>1</v>
      </c>
      <c r="Z20" s="105">
        <v>1</v>
      </c>
      <c r="AA20" s="105">
        <v>1</v>
      </c>
      <c r="AB20" s="105">
        <v>1</v>
      </c>
      <c r="AC20" s="105">
        <v>1</v>
      </c>
      <c r="AD20" s="105">
        <v>1</v>
      </c>
      <c r="AE20" s="105">
        <v>1</v>
      </c>
      <c r="AF20" s="105">
        <v>1</v>
      </c>
      <c r="AG20" s="105">
        <v>1</v>
      </c>
      <c r="AH20" s="95"/>
      <c r="AI20" s="95"/>
      <c r="AJ20" s="95"/>
      <c r="AK20" s="95"/>
      <c r="AL20" s="95"/>
      <c r="AM20" s="95"/>
      <c r="AN20" s="95"/>
      <c r="AO20" s="95"/>
      <c r="AP20" s="105">
        <v>1</v>
      </c>
      <c r="AQ20" s="105">
        <v>1</v>
      </c>
      <c r="AR20" s="105">
        <v>1</v>
      </c>
      <c r="AS20" s="105">
        <v>1</v>
      </c>
      <c r="AT20" s="105">
        <v>1</v>
      </c>
      <c r="AU20" s="105">
        <v>1</v>
      </c>
      <c r="AV20" s="105">
        <v>1</v>
      </c>
      <c r="AW20" s="105">
        <v>1</v>
      </c>
    </row>
    <row r="21" spans="1:58" x14ac:dyDescent="0.3">
      <c r="A21" s="95" t="s">
        <v>391</v>
      </c>
      <c r="B21" s="96">
        <v>0.4</v>
      </c>
      <c r="Q21" s="106">
        <v>1</v>
      </c>
      <c r="R21" s="106">
        <v>1</v>
      </c>
      <c r="S21" s="106">
        <v>1</v>
      </c>
      <c r="T21" s="106">
        <v>1</v>
      </c>
      <c r="U21" s="106">
        <v>1</v>
      </c>
      <c r="V21" s="106">
        <v>1</v>
      </c>
      <c r="W21" s="106">
        <v>1</v>
      </c>
      <c r="X21" s="106">
        <v>1</v>
      </c>
      <c r="AH21" s="106">
        <v>1</v>
      </c>
      <c r="AI21" s="106">
        <v>1</v>
      </c>
      <c r="AJ21" s="106">
        <v>1</v>
      </c>
      <c r="AK21" s="106">
        <v>1</v>
      </c>
      <c r="AL21" s="106">
        <v>1</v>
      </c>
      <c r="AM21" s="106">
        <v>1</v>
      </c>
      <c r="AN21" s="106">
        <v>1</v>
      </c>
      <c r="AO21" s="106">
        <v>1</v>
      </c>
    </row>
    <row r="22" spans="1:58" x14ac:dyDescent="0.3">
      <c r="A22" s="95" t="s">
        <v>392</v>
      </c>
      <c r="B22" s="96">
        <v>0.1</v>
      </c>
      <c r="Q22" s="106">
        <v>1</v>
      </c>
      <c r="R22" s="106">
        <v>1</v>
      </c>
      <c r="S22" s="106">
        <v>1</v>
      </c>
      <c r="T22" s="106">
        <v>1</v>
      </c>
      <c r="U22" s="106">
        <v>1</v>
      </c>
      <c r="V22" s="106">
        <v>1</v>
      </c>
      <c r="W22" s="106">
        <v>1</v>
      </c>
      <c r="X22" s="106">
        <v>1</v>
      </c>
      <c r="AH22" s="106"/>
      <c r="AI22" s="106"/>
      <c r="AJ22" s="106"/>
      <c r="AK22" s="106"/>
      <c r="AL22" s="106"/>
      <c r="AM22" s="106"/>
      <c r="AN22" s="106"/>
      <c r="AO22" s="106"/>
    </row>
    <row r="23" spans="1:58" x14ac:dyDescent="0.3">
      <c r="A23" s="95" t="s">
        <v>393</v>
      </c>
      <c r="B23" s="96">
        <v>0.2</v>
      </c>
      <c r="G23" s="96"/>
      <c r="Q23" s="106"/>
      <c r="R23" s="106"/>
      <c r="S23" s="106"/>
      <c r="T23" s="106"/>
      <c r="U23" s="106"/>
      <c r="V23" s="106"/>
      <c r="W23" s="106"/>
      <c r="X23" s="106"/>
      <c r="AH23" s="106">
        <v>1</v>
      </c>
      <c r="AI23" s="106">
        <v>1</v>
      </c>
      <c r="AJ23" s="106">
        <v>1</v>
      </c>
      <c r="AK23" s="106">
        <v>1</v>
      </c>
      <c r="AL23" s="106">
        <v>1</v>
      </c>
      <c r="AM23" s="106">
        <v>1</v>
      </c>
      <c r="AN23" s="106">
        <v>1</v>
      </c>
      <c r="AO23" s="106">
        <v>1</v>
      </c>
    </row>
    <row r="24" spans="1:58" x14ac:dyDescent="0.3">
      <c r="A24" s="95" t="s">
        <v>394</v>
      </c>
      <c r="B24" s="96">
        <v>0.1</v>
      </c>
      <c r="Q24" s="106">
        <v>1</v>
      </c>
      <c r="R24" s="106">
        <v>1</v>
      </c>
      <c r="S24" s="106">
        <v>1</v>
      </c>
      <c r="T24" s="106">
        <v>1</v>
      </c>
      <c r="U24" s="106">
        <v>1</v>
      </c>
      <c r="V24" s="106">
        <v>1</v>
      </c>
      <c r="W24" s="106">
        <v>1</v>
      </c>
      <c r="X24" s="106">
        <v>1</v>
      </c>
      <c r="AH24" s="106">
        <v>1</v>
      </c>
      <c r="AI24" s="106">
        <v>1</v>
      </c>
      <c r="AJ24" s="106">
        <v>1</v>
      </c>
      <c r="AK24" s="106">
        <v>1</v>
      </c>
      <c r="AL24" s="106">
        <v>1</v>
      </c>
      <c r="AM24" s="106">
        <v>1</v>
      </c>
      <c r="AN24" s="106">
        <v>1</v>
      </c>
      <c r="AO24" s="106">
        <v>1</v>
      </c>
    </row>
    <row r="25" spans="1:58" s="99" customFormat="1" x14ac:dyDescent="0.3">
      <c r="A25" s="99" t="s">
        <v>395</v>
      </c>
      <c r="B25" s="100">
        <v>0.2</v>
      </c>
      <c r="M25" s="95"/>
      <c r="N25" s="95"/>
      <c r="O25" s="95"/>
      <c r="Q25" s="106">
        <v>1</v>
      </c>
      <c r="R25" s="106">
        <v>1</v>
      </c>
      <c r="S25" s="106">
        <v>1</v>
      </c>
      <c r="T25" s="106">
        <v>1</v>
      </c>
      <c r="U25" s="106">
        <v>1</v>
      </c>
      <c r="V25" s="106">
        <v>1</v>
      </c>
      <c r="W25" s="106">
        <v>1</v>
      </c>
      <c r="X25" s="106">
        <v>1</v>
      </c>
      <c r="Y25" s="95"/>
      <c r="Z25" s="95"/>
      <c r="AA25" s="95"/>
      <c r="AB25" s="95"/>
      <c r="AC25" s="95"/>
      <c r="AD25" s="95"/>
      <c r="AE25" s="95"/>
      <c r="AF25" s="95"/>
      <c r="AG25" s="95"/>
      <c r="AH25" s="106">
        <v>1</v>
      </c>
      <c r="AI25" s="106">
        <v>1</v>
      </c>
      <c r="AJ25" s="106">
        <v>1</v>
      </c>
      <c r="AK25" s="106">
        <v>1</v>
      </c>
      <c r="AL25" s="106">
        <v>1</v>
      </c>
      <c r="AM25" s="106">
        <v>1</v>
      </c>
      <c r="AN25" s="106">
        <v>1</v>
      </c>
      <c r="AO25" s="106">
        <v>1</v>
      </c>
    </row>
    <row r="26" spans="1:58" x14ac:dyDescent="0.3">
      <c r="C26" s="95">
        <f t="shared" ref="C26:AH26" si="0">COUNT(C2:C25)</f>
        <v>1</v>
      </c>
      <c r="D26" s="95">
        <f t="shared" si="0"/>
        <v>1</v>
      </c>
      <c r="E26" s="95">
        <f t="shared" si="0"/>
        <v>1</v>
      </c>
      <c r="F26" s="95">
        <f t="shared" si="0"/>
        <v>1</v>
      </c>
      <c r="G26" s="95">
        <f t="shared" si="0"/>
        <v>1</v>
      </c>
      <c r="H26" s="95">
        <f t="shared" si="0"/>
        <v>1</v>
      </c>
      <c r="I26" s="95">
        <f t="shared" si="0"/>
        <v>2</v>
      </c>
      <c r="J26" s="95">
        <f t="shared" si="0"/>
        <v>1</v>
      </c>
      <c r="K26" s="95">
        <f t="shared" si="0"/>
        <v>1</v>
      </c>
      <c r="L26" s="95">
        <f t="shared" si="0"/>
        <v>1</v>
      </c>
      <c r="M26" s="95">
        <f t="shared" si="0"/>
        <v>2</v>
      </c>
      <c r="N26" s="95">
        <f t="shared" si="0"/>
        <v>2</v>
      </c>
      <c r="O26" s="95">
        <f t="shared" si="0"/>
        <v>1</v>
      </c>
      <c r="P26" s="95">
        <f t="shared" si="0"/>
        <v>3</v>
      </c>
      <c r="Q26" s="95">
        <f t="shared" si="0"/>
        <v>7</v>
      </c>
      <c r="R26" s="95">
        <f t="shared" si="0"/>
        <v>7</v>
      </c>
      <c r="S26" s="95">
        <f t="shared" si="0"/>
        <v>7</v>
      </c>
      <c r="T26" s="95">
        <f t="shared" si="0"/>
        <v>7</v>
      </c>
      <c r="U26" s="95">
        <f t="shared" si="0"/>
        <v>7</v>
      </c>
      <c r="V26" s="95">
        <f t="shared" si="0"/>
        <v>7</v>
      </c>
      <c r="W26" s="95">
        <f t="shared" si="0"/>
        <v>7</v>
      </c>
      <c r="X26" s="95">
        <f t="shared" si="0"/>
        <v>7</v>
      </c>
      <c r="Y26" s="95">
        <f t="shared" si="0"/>
        <v>7</v>
      </c>
      <c r="Z26" s="95">
        <f t="shared" si="0"/>
        <v>7</v>
      </c>
      <c r="AA26" s="95">
        <f t="shared" si="0"/>
        <v>7</v>
      </c>
      <c r="AB26" s="95">
        <f t="shared" si="0"/>
        <v>7</v>
      </c>
      <c r="AC26" s="95">
        <f t="shared" si="0"/>
        <v>7</v>
      </c>
      <c r="AD26" s="95">
        <f t="shared" si="0"/>
        <v>7</v>
      </c>
      <c r="AE26" s="95">
        <f t="shared" si="0"/>
        <v>7</v>
      </c>
      <c r="AF26" s="95">
        <f t="shared" si="0"/>
        <v>7</v>
      </c>
      <c r="AG26" s="95">
        <f t="shared" si="0"/>
        <v>7</v>
      </c>
      <c r="AH26" s="95">
        <f t="shared" si="0"/>
        <v>7</v>
      </c>
      <c r="AI26" s="95">
        <f t="shared" ref="AI26:BF26" si="1">COUNT(AI2:AI25)</f>
        <v>7</v>
      </c>
      <c r="AJ26" s="95">
        <f t="shared" si="1"/>
        <v>7</v>
      </c>
      <c r="AK26" s="95">
        <f t="shared" si="1"/>
        <v>7</v>
      </c>
      <c r="AL26" s="95">
        <f t="shared" si="1"/>
        <v>7</v>
      </c>
      <c r="AM26" s="95">
        <f t="shared" si="1"/>
        <v>7</v>
      </c>
      <c r="AN26" s="95">
        <f t="shared" si="1"/>
        <v>7</v>
      </c>
      <c r="AO26" s="95">
        <f t="shared" si="1"/>
        <v>7</v>
      </c>
      <c r="AP26" s="95">
        <f t="shared" si="1"/>
        <v>4</v>
      </c>
      <c r="AQ26" s="95">
        <f t="shared" si="1"/>
        <v>4</v>
      </c>
      <c r="AR26" s="95">
        <f t="shared" si="1"/>
        <v>4</v>
      </c>
      <c r="AS26" s="95">
        <f t="shared" si="1"/>
        <v>4</v>
      </c>
      <c r="AT26" s="95">
        <f t="shared" si="1"/>
        <v>4</v>
      </c>
      <c r="AU26" s="95">
        <f t="shared" si="1"/>
        <v>4</v>
      </c>
      <c r="AV26" s="95">
        <f t="shared" si="1"/>
        <v>4</v>
      </c>
      <c r="AW26" s="95">
        <f t="shared" si="1"/>
        <v>4</v>
      </c>
      <c r="AX26" s="95">
        <f t="shared" si="1"/>
        <v>7</v>
      </c>
      <c r="AY26" s="95">
        <f t="shared" si="1"/>
        <v>7</v>
      </c>
      <c r="AZ26" s="95">
        <f t="shared" si="1"/>
        <v>7</v>
      </c>
      <c r="BA26" s="95">
        <f t="shared" si="1"/>
        <v>7</v>
      </c>
      <c r="BB26" s="95">
        <f t="shared" si="1"/>
        <v>7</v>
      </c>
      <c r="BC26" s="95">
        <f t="shared" si="1"/>
        <v>7</v>
      </c>
      <c r="BD26" s="95">
        <f t="shared" si="1"/>
        <v>7</v>
      </c>
      <c r="BE26" s="95">
        <f t="shared" si="1"/>
        <v>7</v>
      </c>
      <c r="BF26" s="95">
        <f t="shared" si="1"/>
        <v>7</v>
      </c>
    </row>
    <row r="27" spans="1:58" x14ac:dyDescent="0.3">
      <c r="C27" s="95" t="str">
        <f>C1</f>
        <v>RA1.a</v>
      </c>
      <c r="D27" s="95" t="str">
        <f>D1</f>
        <v>RA1.b</v>
      </c>
      <c r="E27" s="95" t="str">
        <f>E1</f>
        <v>RA1.c</v>
      </c>
      <c r="F27" s="95" t="str">
        <f>F1</f>
        <v>RA1.d</v>
      </c>
      <c r="G27" s="95" t="str">
        <f>G1</f>
        <v>RA1.e</v>
      </c>
      <c r="H27" s="95" t="str">
        <f t="shared" ref="H27:BF27" si="2">H1</f>
        <v>RA1.f</v>
      </c>
      <c r="I27" s="95" t="str">
        <f t="shared" si="2"/>
        <v>RA2.a</v>
      </c>
      <c r="J27" s="95" t="str">
        <f t="shared" si="2"/>
        <v>RA2.b</v>
      </c>
      <c r="K27" s="95" t="str">
        <f t="shared" si="2"/>
        <v>RA2.c</v>
      </c>
      <c r="L27" s="95" t="str">
        <f t="shared" si="2"/>
        <v>RA2.d</v>
      </c>
      <c r="M27" s="95" t="str">
        <f t="shared" si="2"/>
        <v>RA2.e</v>
      </c>
      <c r="N27" s="95" t="str">
        <f t="shared" si="2"/>
        <v>RA2.f</v>
      </c>
      <c r="O27" s="95" t="str">
        <f t="shared" si="2"/>
        <v>RA2.g</v>
      </c>
      <c r="P27" s="95" t="str">
        <f t="shared" si="2"/>
        <v>RA2.h</v>
      </c>
      <c r="Q27" s="95" t="str">
        <f t="shared" si="2"/>
        <v>RA3.a</v>
      </c>
      <c r="R27" s="95" t="str">
        <f t="shared" si="2"/>
        <v>RA3.b</v>
      </c>
      <c r="S27" s="95" t="str">
        <f t="shared" si="2"/>
        <v>RA3.c</v>
      </c>
      <c r="T27" s="95" t="str">
        <f t="shared" si="2"/>
        <v>RA3.d</v>
      </c>
      <c r="U27" s="95" t="str">
        <f t="shared" si="2"/>
        <v>RA3.e</v>
      </c>
      <c r="V27" s="95" t="str">
        <f t="shared" si="2"/>
        <v>RA3.f</v>
      </c>
      <c r="W27" s="95" t="str">
        <f t="shared" si="2"/>
        <v>RA3.g</v>
      </c>
      <c r="X27" s="95" t="str">
        <f t="shared" si="2"/>
        <v>RA3.h</v>
      </c>
      <c r="Y27" s="95" t="str">
        <f t="shared" si="2"/>
        <v>RA4.a</v>
      </c>
      <c r="Z27" s="95" t="str">
        <f t="shared" si="2"/>
        <v>RA4.b</v>
      </c>
      <c r="AA27" s="95" t="str">
        <f t="shared" si="2"/>
        <v>RA4.c</v>
      </c>
      <c r="AB27" s="95" t="str">
        <f t="shared" si="2"/>
        <v>RA4.d</v>
      </c>
      <c r="AC27" s="95" t="str">
        <f t="shared" si="2"/>
        <v>RA4.e</v>
      </c>
      <c r="AD27" s="95" t="str">
        <f t="shared" si="2"/>
        <v>RA4.f</v>
      </c>
      <c r="AE27" s="95" t="str">
        <f t="shared" si="2"/>
        <v>RA4.g</v>
      </c>
      <c r="AF27" s="95" t="str">
        <f t="shared" si="2"/>
        <v>RA4.h</v>
      </c>
      <c r="AG27" s="95" t="str">
        <f t="shared" si="2"/>
        <v>RA4.i</v>
      </c>
      <c r="AH27" s="95" t="str">
        <f t="shared" si="2"/>
        <v>RA5.a</v>
      </c>
      <c r="AI27" s="95" t="str">
        <f t="shared" si="2"/>
        <v>RA5.b</v>
      </c>
      <c r="AJ27" s="95" t="str">
        <f t="shared" si="2"/>
        <v>RA5.c</v>
      </c>
      <c r="AK27" s="95" t="str">
        <f t="shared" si="2"/>
        <v>RA5.d</v>
      </c>
      <c r="AL27" s="95" t="str">
        <f t="shared" si="2"/>
        <v>RA5.e</v>
      </c>
      <c r="AM27" s="95" t="str">
        <f t="shared" si="2"/>
        <v>RA5.f</v>
      </c>
      <c r="AN27" s="95" t="str">
        <f t="shared" si="2"/>
        <v>RA5.g</v>
      </c>
      <c r="AO27" s="95" t="str">
        <f t="shared" si="2"/>
        <v>RA5.h</v>
      </c>
      <c r="AP27" s="95" t="str">
        <f t="shared" si="2"/>
        <v>RA6.a</v>
      </c>
      <c r="AQ27" s="95" t="str">
        <f t="shared" si="2"/>
        <v>RA6.b</v>
      </c>
      <c r="AR27" s="95" t="str">
        <f t="shared" si="2"/>
        <v>RA6.c</v>
      </c>
      <c r="AS27" s="95" t="str">
        <f t="shared" si="2"/>
        <v>RA6.d</v>
      </c>
      <c r="AT27" s="95" t="str">
        <f t="shared" si="2"/>
        <v>RA6.e</v>
      </c>
      <c r="AU27" s="95" t="str">
        <f t="shared" si="2"/>
        <v>RA6.f</v>
      </c>
      <c r="AV27" s="95" t="str">
        <f t="shared" si="2"/>
        <v>RA6.g</v>
      </c>
      <c r="AW27" s="95" t="str">
        <f t="shared" si="2"/>
        <v>RA6.h</v>
      </c>
      <c r="AX27" s="95" t="str">
        <f t="shared" si="2"/>
        <v>RA7.a</v>
      </c>
      <c r="AY27" s="95" t="str">
        <f t="shared" si="2"/>
        <v>RA7.b</v>
      </c>
      <c r="AZ27" s="95" t="str">
        <f t="shared" si="2"/>
        <v>RA7.c</v>
      </c>
      <c r="BA27" s="95" t="str">
        <f t="shared" si="2"/>
        <v>RA7.d</v>
      </c>
      <c r="BB27" s="95" t="str">
        <f t="shared" si="2"/>
        <v>RA7.e</v>
      </c>
      <c r="BC27" s="95" t="str">
        <f t="shared" si="2"/>
        <v>RA7.f</v>
      </c>
      <c r="BD27" s="95" t="str">
        <f t="shared" si="2"/>
        <v>RA7.g</v>
      </c>
      <c r="BE27" s="95" t="str">
        <f t="shared" si="2"/>
        <v>RA7.h</v>
      </c>
      <c r="BF27" s="95" t="str">
        <f t="shared" si="2"/>
        <v>RA7.i</v>
      </c>
    </row>
    <row r="28" spans="1:58" s="1" customFormat="1" ht="100.8" x14ac:dyDescent="0.3">
      <c r="C28" s="1" t="s">
        <v>407</v>
      </c>
      <c r="D28" s="1" t="str">
        <f>_xlfn.CONCAT("100% ",D29)</f>
        <v>100% 1.2</v>
      </c>
      <c r="E28" s="1" t="str">
        <f>_xlfn.CONCAT("100% ",E29)</f>
        <v>100% 1.2</v>
      </c>
      <c r="F28" s="1" t="str">
        <f>_xlfn.CONCAT("100% ",F29)</f>
        <v>100% 1.4</v>
      </c>
      <c r="G28" s="1" t="str">
        <f>_xlfn.CONCAT("100% ",G29)</f>
        <v>100% 1.1</v>
      </c>
      <c r="H28" s="1" t="str">
        <f>_xlfn.CONCAT("100% ",H29)</f>
        <v>100% 1.2</v>
      </c>
      <c r="I28" s="107" t="s">
        <v>406</v>
      </c>
      <c r="J28" s="1" t="str">
        <f>_xlfn.CONCAT("100% ",J29)</f>
        <v>100% 1.2</v>
      </c>
      <c r="K28" s="1" t="str">
        <f>_xlfn.CONCAT("100% ",K29)</f>
        <v>100% 1.2</v>
      </c>
      <c r="L28" s="1" t="str">
        <f>_xlfn.CONCAT("100% ",L29)</f>
        <v>100% 1.2</v>
      </c>
      <c r="M28" s="107" t="s">
        <v>405</v>
      </c>
      <c r="N28" s="107" t="s">
        <v>405</v>
      </c>
      <c r="O28" s="1" t="str">
        <f>_xlfn.CONCAT("100% ",O29)</f>
        <v>100% 1.2</v>
      </c>
      <c r="P28" s="107" t="s">
        <v>408</v>
      </c>
      <c r="Q28" s="107" t="s">
        <v>409</v>
      </c>
      <c r="R28" s="107" t="s">
        <v>409</v>
      </c>
      <c r="S28" s="107" t="s">
        <v>409</v>
      </c>
      <c r="T28" s="107" t="s">
        <v>409</v>
      </c>
      <c r="U28" s="107" t="s">
        <v>409</v>
      </c>
      <c r="V28" s="107" t="s">
        <v>409</v>
      </c>
      <c r="W28" s="107" t="s">
        <v>409</v>
      </c>
      <c r="X28" s="107" t="s">
        <v>409</v>
      </c>
      <c r="Y28" s="107" t="s">
        <v>410</v>
      </c>
      <c r="Z28" s="107" t="s">
        <v>410</v>
      </c>
      <c r="AA28" s="107" t="s">
        <v>410</v>
      </c>
      <c r="AB28" s="107" t="s">
        <v>410</v>
      </c>
      <c r="AC28" s="107" t="s">
        <v>410</v>
      </c>
      <c r="AD28" s="107" t="s">
        <v>410</v>
      </c>
      <c r="AE28" s="107" t="s">
        <v>410</v>
      </c>
      <c r="AF28" s="107" t="s">
        <v>410</v>
      </c>
      <c r="AG28" s="107" t="s">
        <v>410</v>
      </c>
      <c r="AH28" s="107" t="s">
        <v>411</v>
      </c>
      <c r="AI28" s="107" t="s">
        <v>411</v>
      </c>
      <c r="AJ28" s="107" t="s">
        <v>411</v>
      </c>
      <c r="AK28" s="107" t="s">
        <v>411</v>
      </c>
      <c r="AL28" s="107" t="s">
        <v>411</v>
      </c>
      <c r="AM28" s="107" t="s">
        <v>411</v>
      </c>
      <c r="AN28" s="107" t="s">
        <v>411</v>
      </c>
      <c r="AO28" s="107" t="s">
        <v>411</v>
      </c>
      <c r="AP28" s="107" t="s">
        <v>412</v>
      </c>
      <c r="AQ28" s="107" t="s">
        <v>412</v>
      </c>
      <c r="AR28" s="107" t="s">
        <v>412</v>
      </c>
      <c r="AS28" s="107" t="s">
        <v>412</v>
      </c>
      <c r="AT28" s="107" t="s">
        <v>412</v>
      </c>
      <c r="AU28" s="107" t="s">
        <v>412</v>
      </c>
      <c r="AV28" s="107" t="s">
        <v>412</v>
      </c>
      <c r="AW28" s="107" t="s">
        <v>412</v>
      </c>
      <c r="AX28" s="107" t="s">
        <v>413</v>
      </c>
    </row>
    <row r="29" spans="1:58" x14ac:dyDescent="0.3">
      <c r="C29" s="95" t="str">
        <f t="shared" ref="C29:H29" si="3">_xlfn.CONCAT(IF(C2=1,$A2,""),IF(C3=1,$A3,""),IF(C4=1,$A4,""),IF(C5=1,$A5,""))</f>
        <v>1.4</v>
      </c>
      <c r="D29" s="95" t="str">
        <f t="shared" si="3"/>
        <v>1.2</v>
      </c>
      <c r="E29" s="95" t="str">
        <f t="shared" si="3"/>
        <v>1.2</v>
      </c>
      <c r="F29" s="95" t="str">
        <f t="shared" si="3"/>
        <v>1.4</v>
      </c>
      <c r="G29" s="95" t="str">
        <f t="shared" si="3"/>
        <v>1.1</v>
      </c>
      <c r="H29" s="95" t="str">
        <f t="shared" si="3"/>
        <v>1.2</v>
      </c>
      <c r="J29" s="95" t="str">
        <f>_xlfn.CONCAT(IF(J2=1,$A2,""),IF(J3=1,$A3,""),IF(J4=1,$A4,""),IF(J5=1,$A5,""))</f>
        <v>1.2</v>
      </c>
      <c r="K29" s="95" t="str">
        <f>_xlfn.CONCAT(IF(K2=1,$A2,""),IF(K3=1,$A3,""),IF(K4=1,$A4,""),IF(K5=1,$A5,""))</f>
        <v>1.2</v>
      </c>
      <c r="L29" s="95" t="str">
        <f>_xlfn.CONCAT(IF(L2=1,$A2,""),IF(L3=1,$A3,""),IF(L4=1,$A4,""),IF(L5=1,$A5,""))</f>
        <v>1.2</v>
      </c>
      <c r="O29" s="95" t="str">
        <f>_xlfn.CONCAT(IF(O2=1,$A2,""),IF(O3=1,$A3,""),IF(O4=1,$A4,""),IF(O5=1,$A5,""))</f>
        <v>1.2</v>
      </c>
      <c r="AP29" s="95" t="str">
        <f>_xlfn.CONCAT(IF(AP2=1,$A2,""),IF(AP3=1,$A3,""),IF(AP4=1,$A4,""),IF(AP5=1,$A5,""))</f>
        <v/>
      </c>
      <c r="AQ29" s="95" t="str">
        <f>_xlfn.CONCAT(IF(AQ2=1,$A2,""),IF(AQ3=1,$A3,""),IF(AQ4=1,$A4,""),IF(AQ5=1,$A5,""))</f>
        <v/>
      </c>
    </row>
    <row r="30" spans="1:58" x14ac:dyDescent="0.3">
      <c r="P30" s="108">
        <f>B3/0.6</f>
        <v>0.5</v>
      </c>
      <c r="Q30" s="108">
        <f>B6/0.7</f>
        <v>0.57142857142857151</v>
      </c>
      <c r="R30" s="95">
        <v>30</v>
      </c>
      <c r="S30" s="108">
        <f>Q30/2</f>
        <v>0.28571428571428575</v>
      </c>
      <c r="Y30" s="95">
        <v>40</v>
      </c>
      <c r="Z30" s="108">
        <f>Y30/75</f>
        <v>0.53333333333333333</v>
      </c>
      <c r="AA30" s="95">
        <v>25</v>
      </c>
      <c r="AH30" s="95">
        <v>20</v>
      </c>
      <c r="AI30" s="95">
        <f>AH30/0.6</f>
        <v>33.333333333333336</v>
      </c>
      <c r="AJ30" s="95">
        <v>15</v>
      </c>
      <c r="AX30" s="95">
        <v>40</v>
      </c>
    </row>
    <row r="31" spans="1:58" x14ac:dyDescent="0.3">
      <c r="P31" s="108">
        <f>B4/0.6</f>
        <v>0.33333333333333337</v>
      </c>
      <c r="Q31" s="108">
        <f>B9/0.7</f>
        <v>0.14285714285714288</v>
      </c>
      <c r="R31" s="95">
        <v>7</v>
      </c>
      <c r="S31" s="108">
        <f t="shared" ref="S31:S38" si="4">Q31/2</f>
        <v>7.1428571428571438E-2</v>
      </c>
      <c r="Y31" s="95">
        <v>15</v>
      </c>
      <c r="Z31" s="108">
        <f>Y31/75</f>
        <v>0.2</v>
      </c>
      <c r="AA31" s="95">
        <v>10</v>
      </c>
      <c r="AH31" s="95">
        <v>20</v>
      </c>
      <c r="AI31" s="95">
        <f>AH31/0.6</f>
        <v>33.333333333333336</v>
      </c>
      <c r="AJ31" s="95">
        <v>15</v>
      </c>
      <c r="AP31" s="95">
        <v>40</v>
      </c>
      <c r="AQ31" s="95">
        <f>AP31/90</f>
        <v>0.44444444444444442</v>
      </c>
      <c r="AR31" s="95">
        <v>44</v>
      </c>
      <c r="AX31" s="95">
        <v>15</v>
      </c>
    </row>
    <row r="32" spans="1:58" x14ac:dyDescent="0.3">
      <c r="P32" s="108">
        <f>B5/0.6</f>
        <v>0.16666666666666669</v>
      </c>
      <c r="Q32" s="108">
        <f>B10/0.7</f>
        <v>0.28571428571428575</v>
      </c>
      <c r="R32" s="95">
        <v>15</v>
      </c>
      <c r="S32" s="108">
        <f t="shared" si="4"/>
        <v>0.14285714285714288</v>
      </c>
      <c r="Y32" s="95">
        <v>20</v>
      </c>
      <c r="Z32" s="108">
        <f>Y32/75</f>
        <v>0.26666666666666666</v>
      </c>
      <c r="AA32" s="95">
        <v>14</v>
      </c>
      <c r="AH32" s="95">
        <v>20</v>
      </c>
      <c r="AI32" s="95">
        <f>AH32/0.6</f>
        <v>33.333333333333336</v>
      </c>
      <c r="AJ32" s="95">
        <v>15</v>
      </c>
      <c r="AP32" s="95">
        <v>10</v>
      </c>
      <c r="AQ32" s="95">
        <f>AP32/90</f>
        <v>0.1111111111111111</v>
      </c>
      <c r="AR32" s="95">
        <v>12</v>
      </c>
      <c r="AX32" s="95">
        <v>20</v>
      </c>
    </row>
    <row r="33" spans="3:44" x14ac:dyDescent="0.3">
      <c r="P33" s="108"/>
      <c r="Q33" s="108"/>
      <c r="S33" s="108">
        <f t="shared" si="4"/>
        <v>0</v>
      </c>
      <c r="AP33" s="95">
        <v>30</v>
      </c>
      <c r="AQ33" s="95">
        <f>AP33/90</f>
        <v>0.33333333333333331</v>
      </c>
      <c r="AR33" s="95">
        <v>32</v>
      </c>
    </row>
    <row r="34" spans="3:44" x14ac:dyDescent="0.3">
      <c r="P34" s="108"/>
      <c r="Q34" s="108">
        <f>B21/0.8</f>
        <v>0.5</v>
      </c>
      <c r="R34" s="95">
        <v>25</v>
      </c>
      <c r="S34" s="108">
        <f t="shared" si="4"/>
        <v>0.25</v>
      </c>
      <c r="Y34" s="95">
        <v>40</v>
      </c>
      <c r="Z34" s="108">
        <f>Y34/90</f>
        <v>0.44444444444444442</v>
      </c>
      <c r="AA34" s="95">
        <v>25</v>
      </c>
      <c r="AH34" s="95">
        <v>40</v>
      </c>
      <c r="AI34" s="95">
        <f>AH34/0.9</f>
        <v>44.444444444444443</v>
      </c>
      <c r="AJ34" s="95">
        <v>25</v>
      </c>
      <c r="AP34" s="95">
        <v>10</v>
      </c>
      <c r="AQ34" s="95">
        <f>AP34/90</f>
        <v>0.1111111111111111</v>
      </c>
      <c r="AR34" s="95">
        <v>12</v>
      </c>
    </row>
    <row r="35" spans="3:44" x14ac:dyDescent="0.3">
      <c r="P35" s="108"/>
      <c r="Q35" s="108">
        <f>B22/0.8</f>
        <v>0.125</v>
      </c>
      <c r="R35" s="95">
        <v>5</v>
      </c>
      <c r="S35" s="108">
        <f t="shared" si="4"/>
        <v>6.25E-2</v>
      </c>
      <c r="Y35" s="95">
        <v>30</v>
      </c>
      <c r="Z35" s="108">
        <f>Y35/90</f>
        <v>0.33333333333333331</v>
      </c>
      <c r="AA35" s="95">
        <v>16</v>
      </c>
      <c r="AH35" s="95">
        <v>20</v>
      </c>
      <c r="AI35" s="95">
        <f>AH35/0.9</f>
        <v>22.222222222222221</v>
      </c>
      <c r="AJ35" s="95">
        <v>12</v>
      </c>
    </row>
    <row r="36" spans="3:44" x14ac:dyDescent="0.3">
      <c r="P36" s="108"/>
      <c r="Q36" s="108"/>
      <c r="S36" s="108">
        <f t="shared" si="4"/>
        <v>0</v>
      </c>
      <c r="Y36" s="95">
        <v>10</v>
      </c>
      <c r="Z36" s="108">
        <f>Y36/90</f>
        <v>0.1111111111111111</v>
      </c>
      <c r="AA36" s="95">
        <v>5</v>
      </c>
      <c r="AH36" s="95">
        <v>10</v>
      </c>
      <c r="AI36" s="95">
        <f>AH36/0.9</f>
        <v>11.111111111111111</v>
      </c>
      <c r="AJ36" s="95">
        <v>6</v>
      </c>
    </row>
    <row r="37" spans="3:44" x14ac:dyDescent="0.3">
      <c r="P37" s="108"/>
      <c r="Q37" s="108">
        <f>B24/0.8</f>
        <v>0.125</v>
      </c>
      <c r="R37" s="95">
        <v>5</v>
      </c>
      <c r="S37" s="108">
        <f t="shared" si="4"/>
        <v>6.25E-2</v>
      </c>
      <c r="Y37" s="95">
        <v>10</v>
      </c>
      <c r="Z37" s="108">
        <f>Y37/90</f>
        <v>0.1111111111111111</v>
      </c>
      <c r="AA37" s="95">
        <v>5</v>
      </c>
      <c r="AH37" s="95">
        <v>20</v>
      </c>
      <c r="AI37" s="95">
        <f>AH37/0.9</f>
        <v>22.222222222222221</v>
      </c>
      <c r="AJ37" s="95">
        <v>12</v>
      </c>
    </row>
    <row r="38" spans="3:44" x14ac:dyDescent="0.3">
      <c r="P38" s="108"/>
      <c r="Q38" s="108">
        <f>B25/0.8</f>
        <v>0.25</v>
      </c>
      <c r="R38" s="95">
        <v>13</v>
      </c>
      <c r="S38" s="108">
        <f t="shared" si="4"/>
        <v>0.125</v>
      </c>
    </row>
    <row r="39" spans="3:44" x14ac:dyDescent="0.3">
      <c r="P39" s="108"/>
      <c r="Q39" s="108"/>
    </row>
    <row r="40" spans="3:44" x14ac:dyDescent="0.3">
      <c r="P40" s="108"/>
      <c r="Q40" s="108"/>
    </row>
    <row r="41" spans="3:44" x14ac:dyDescent="0.3">
      <c r="P41" s="108"/>
      <c r="Q41" s="108"/>
    </row>
    <row r="42" spans="3:44" x14ac:dyDescent="0.3">
      <c r="P42" s="108"/>
      <c r="Q42" s="108"/>
    </row>
    <row r="44" spans="3:44" s="107" customFormat="1" ht="28.8" x14ac:dyDescent="0.3">
      <c r="C44" s="107" t="s">
        <v>404</v>
      </c>
      <c r="D44" s="107" t="s">
        <v>404</v>
      </c>
      <c r="E44" s="107" t="s">
        <v>397</v>
      </c>
      <c r="F44" s="107" t="s">
        <v>404</v>
      </c>
      <c r="G44" s="107" t="s">
        <v>397</v>
      </c>
      <c r="H44" s="107" t="s">
        <v>397</v>
      </c>
      <c r="I44" s="107" t="s">
        <v>397</v>
      </c>
      <c r="J44" s="107" t="s">
        <v>397</v>
      </c>
      <c r="K44" s="107" t="s">
        <v>397</v>
      </c>
      <c r="L44" s="107" t="s">
        <v>397</v>
      </c>
      <c r="M44" s="107" t="s">
        <v>397</v>
      </c>
      <c r="N44" s="107" t="s">
        <v>397</v>
      </c>
      <c r="O44" s="107" t="s">
        <v>397</v>
      </c>
      <c r="P44" s="107" t="s">
        <v>397</v>
      </c>
    </row>
    <row r="45" spans="3:44" s="107" customFormat="1" ht="86.4" x14ac:dyDescent="0.3">
      <c r="C45" s="107" t="s">
        <v>396</v>
      </c>
      <c r="D45" s="107" t="s">
        <v>396</v>
      </c>
      <c r="E45" s="107" t="s">
        <v>398</v>
      </c>
      <c r="F45" s="107" t="s">
        <v>396</v>
      </c>
      <c r="G45" s="107" t="s">
        <v>399</v>
      </c>
      <c r="H45" s="107" t="s">
        <v>400</v>
      </c>
      <c r="I45" s="107" t="s">
        <v>401</v>
      </c>
      <c r="J45" s="107" t="s">
        <v>400</v>
      </c>
      <c r="K45" s="107" t="s">
        <v>400</v>
      </c>
      <c r="L45" s="107" t="s">
        <v>400</v>
      </c>
      <c r="M45" s="107" t="s">
        <v>402</v>
      </c>
      <c r="N45" s="107" t="s">
        <v>402</v>
      </c>
      <c r="O45" s="107" t="s">
        <v>400</v>
      </c>
      <c r="P45" s="107" t="s">
        <v>403</v>
      </c>
    </row>
    <row r="48" spans="3:44" x14ac:dyDescent="0.3">
      <c r="H48" s="96"/>
      <c r="I48" s="96"/>
      <c r="L48" s="108"/>
      <c r="M48" s="96"/>
    </row>
    <row r="49" spans="8:13" x14ac:dyDescent="0.3">
      <c r="H49" s="96"/>
      <c r="I49" s="96"/>
      <c r="L49" s="108"/>
      <c r="M49" s="96"/>
    </row>
    <row r="51" spans="8:13" x14ac:dyDescent="0.3">
      <c r="M51" s="96">
        <v>0.8</v>
      </c>
    </row>
    <row r="52" spans="8:13" x14ac:dyDescent="0.3">
      <c r="L52" s="96">
        <v>0.3</v>
      </c>
      <c r="M52" s="109">
        <f>L52*M$51/L$55</f>
        <v>0.4</v>
      </c>
    </row>
    <row r="53" spans="8:13" x14ac:dyDescent="0.3">
      <c r="L53" s="108">
        <v>0.2</v>
      </c>
      <c r="M53" s="109">
        <f>L53*M$51/L$55</f>
        <v>0.26666666666666672</v>
      </c>
    </row>
    <row r="54" spans="8:13" x14ac:dyDescent="0.3">
      <c r="L54" s="96">
        <v>0.1</v>
      </c>
      <c r="M54" s="109">
        <f>L54*M$51/L$55</f>
        <v>0.13333333333333336</v>
      </c>
    </row>
    <row r="55" spans="8:13" x14ac:dyDescent="0.3">
      <c r="L55" s="96">
        <f>SUM(L52:L54)</f>
        <v>0.6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BE38-5895-474D-B0D5-287CF94DD7EA}">
  <dimension ref="A1:D78"/>
  <sheetViews>
    <sheetView zoomScale="120" zoomScaleNormal="120" workbookViewId="0">
      <selection activeCell="A6" sqref="A6"/>
    </sheetView>
  </sheetViews>
  <sheetFormatPr defaultColWidth="11.44140625" defaultRowHeight="14.4" x14ac:dyDescent="0.3"/>
  <cols>
    <col min="1" max="1" width="126.88671875" customWidth="1"/>
    <col min="2" max="2" width="10.6640625" bestFit="1" customWidth="1"/>
    <col min="3" max="3" width="18" customWidth="1"/>
    <col min="4" max="4" width="11.44140625" style="92"/>
  </cols>
  <sheetData>
    <row r="1" spans="1:4" x14ac:dyDescent="0.3">
      <c r="A1" t="s">
        <v>28</v>
      </c>
      <c r="C1" t="s">
        <v>258</v>
      </c>
      <c r="D1" s="92" t="s">
        <v>259</v>
      </c>
    </row>
    <row r="2" spans="1:4" x14ac:dyDescent="0.3">
      <c r="A2" s="27" t="s">
        <v>311</v>
      </c>
      <c r="B2" s="27" t="s">
        <v>312</v>
      </c>
    </row>
    <row r="3" spans="1:4" x14ac:dyDescent="0.3">
      <c r="A3" t="s">
        <v>29</v>
      </c>
      <c r="B3" s="93">
        <v>0.1</v>
      </c>
    </row>
    <row r="4" spans="1:4" x14ac:dyDescent="0.3">
      <c r="A4" s="65" t="s">
        <v>30</v>
      </c>
      <c r="B4" s="65" t="s">
        <v>312</v>
      </c>
      <c r="C4" s="65"/>
    </row>
    <row r="5" spans="1:4" x14ac:dyDescent="0.3">
      <c r="A5" t="s">
        <v>31</v>
      </c>
      <c r="B5" s="93">
        <v>0.15</v>
      </c>
      <c r="C5">
        <v>1</v>
      </c>
      <c r="D5" s="92">
        <v>1</v>
      </c>
    </row>
    <row r="6" spans="1:4" x14ac:dyDescent="0.3">
      <c r="A6" t="s">
        <v>32</v>
      </c>
      <c r="B6" s="93">
        <v>0.2</v>
      </c>
      <c r="C6">
        <v>1</v>
      </c>
      <c r="D6" s="92">
        <v>1</v>
      </c>
    </row>
    <row r="7" spans="1:4" x14ac:dyDescent="0.3">
      <c r="A7" t="s">
        <v>33</v>
      </c>
      <c r="B7" s="93">
        <v>0.15</v>
      </c>
      <c r="C7">
        <v>1</v>
      </c>
      <c r="D7" s="92">
        <v>1</v>
      </c>
    </row>
    <row r="8" spans="1:4" x14ac:dyDescent="0.3">
      <c r="A8" t="s">
        <v>34</v>
      </c>
      <c r="B8" s="93">
        <v>0.15</v>
      </c>
      <c r="C8">
        <v>2</v>
      </c>
      <c r="D8" s="92">
        <v>1</v>
      </c>
    </row>
    <row r="9" spans="1:4" x14ac:dyDescent="0.3">
      <c r="A9" t="s">
        <v>35</v>
      </c>
      <c r="B9" s="93">
        <v>0.15</v>
      </c>
      <c r="C9">
        <v>2</v>
      </c>
      <c r="D9" s="92">
        <v>1</v>
      </c>
    </row>
    <row r="10" spans="1:4" x14ac:dyDescent="0.3">
      <c r="A10" t="s">
        <v>36</v>
      </c>
      <c r="B10" s="93">
        <v>0.2</v>
      </c>
      <c r="C10">
        <v>2</v>
      </c>
      <c r="D10" s="92">
        <v>1</v>
      </c>
    </row>
    <row r="11" spans="1:4" x14ac:dyDescent="0.3">
      <c r="A11" s="27" t="s">
        <v>311</v>
      </c>
      <c r="B11" s="27" t="s">
        <v>312</v>
      </c>
    </row>
    <row r="12" spans="1:4" x14ac:dyDescent="0.3">
      <c r="A12" s="27" t="s">
        <v>37</v>
      </c>
      <c r="B12" s="93">
        <v>0.2</v>
      </c>
    </row>
    <row r="13" spans="1:4" x14ac:dyDescent="0.3">
      <c r="A13" s="65" t="s">
        <v>30</v>
      </c>
      <c r="B13" s="65" t="s">
        <v>312</v>
      </c>
      <c r="C13" s="65"/>
    </row>
    <row r="14" spans="1:4" x14ac:dyDescent="0.3">
      <c r="A14" t="s">
        <v>38</v>
      </c>
      <c r="B14" s="93">
        <v>0.05</v>
      </c>
      <c r="C14" s="63" t="s">
        <v>260</v>
      </c>
      <c r="D14" s="92">
        <v>1</v>
      </c>
    </row>
    <row r="15" spans="1:4" x14ac:dyDescent="0.3">
      <c r="A15" t="s">
        <v>39</v>
      </c>
      <c r="B15" s="93">
        <v>0.15</v>
      </c>
      <c r="C15" s="63" t="s">
        <v>260</v>
      </c>
      <c r="D15" s="92">
        <v>1</v>
      </c>
    </row>
    <row r="16" spans="1:4" x14ac:dyDescent="0.3">
      <c r="A16" t="s">
        <v>40</v>
      </c>
      <c r="B16" s="93">
        <v>0.15</v>
      </c>
      <c r="C16" s="63" t="s">
        <v>260</v>
      </c>
      <c r="D16" s="92">
        <v>1</v>
      </c>
    </row>
    <row r="17" spans="1:4" x14ac:dyDescent="0.3">
      <c r="A17" t="s">
        <v>41</v>
      </c>
      <c r="B17" s="93">
        <v>0.15</v>
      </c>
      <c r="C17" s="63" t="s">
        <v>260</v>
      </c>
      <c r="D17" s="92">
        <v>1</v>
      </c>
    </row>
    <row r="18" spans="1:4" x14ac:dyDescent="0.3">
      <c r="A18" t="s">
        <v>42</v>
      </c>
      <c r="B18" s="93">
        <v>0.15</v>
      </c>
      <c r="C18" s="63" t="s">
        <v>263</v>
      </c>
      <c r="D18" s="64" t="s">
        <v>308</v>
      </c>
    </row>
    <row r="19" spans="1:4" x14ac:dyDescent="0.3">
      <c r="A19" t="s">
        <v>43</v>
      </c>
      <c r="B19" s="93">
        <v>0.1</v>
      </c>
      <c r="C19" s="63" t="s">
        <v>263</v>
      </c>
      <c r="D19" s="64" t="s">
        <v>308</v>
      </c>
    </row>
    <row r="20" spans="1:4" x14ac:dyDescent="0.3">
      <c r="A20" t="s">
        <v>44</v>
      </c>
      <c r="B20" s="93">
        <v>0.1</v>
      </c>
      <c r="C20" s="63" t="s">
        <v>263</v>
      </c>
      <c r="D20" s="64" t="s">
        <v>308</v>
      </c>
    </row>
    <row r="21" spans="1:4" x14ac:dyDescent="0.3">
      <c r="A21" t="s">
        <v>45</v>
      </c>
      <c r="B21" s="93">
        <v>0.15</v>
      </c>
      <c r="C21" s="63" t="s">
        <v>260</v>
      </c>
      <c r="D21" s="92">
        <v>1</v>
      </c>
    </row>
    <row r="22" spans="1:4" x14ac:dyDescent="0.3">
      <c r="A22" s="27" t="s">
        <v>311</v>
      </c>
      <c r="B22" s="27" t="s">
        <v>312</v>
      </c>
    </row>
    <row r="23" spans="1:4" x14ac:dyDescent="0.3">
      <c r="A23" s="27" t="s">
        <v>46</v>
      </c>
      <c r="B23" s="93">
        <v>0.15</v>
      </c>
    </row>
    <row r="24" spans="1:4" x14ac:dyDescent="0.3">
      <c r="A24" s="65" t="s">
        <v>30</v>
      </c>
      <c r="B24" s="65" t="s">
        <v>312</v>
      </c>
      <c r="C24" s="65"/>
    </row>
    <row r="25" spans="1:4" x14ac:dyDescent="0.3">
      <c r="A25" t="s">
        <v>47</v>
      </c>
      <c r="B25" s="93">
        <v>0.15</v>
      </c>
      <c r="C25">
        <v>5</v>
      </c>
      <c r="D25" s="92">
        <v>2</v>
      </c>
    </row>
    <row r="26" spans="1:4" x14ac:dyDescent="0.3">
      <c r="A26" t="s">
        <v>48</v>
      </c>
      <c r="B26" s="93">
        <v>0.15</v>
      </c>
      <c r="C26">
        <v>5</v>
      </c>
      <c r="D26" s="92">
        <v>2</v>
      </c>
    </row>
    <row r="27" spans="1:4" x14ac:dyDescent="0.3">
      <c r="A27" t="s">
        <v>49</v>
      </c>
      <c r="B27" s="93">
        <v>0.1</v>
      </c>
      <c r="C27">
        <v>5</v>
      </c>
      <c r="D27" s="92">
        <v>2</v>
      </c>
    </row>
    <row r="28" spans="1:4" x14ac:dyDescent="0.3">
      <c r="A28" t="s">
        <v>50</v>
      </c>
      <c r="B28" s="93">
        <v>0.1</v>
      </c>
      <c r="C28">
        <v>5</v>
      </c>
      <c r="D28" s="92">
        <v>2</v>
      </c>
    </row>
    <row r="29" spans="1:4" x14ac:dyDescent="0.3">
      <c r="A29" t="s">
        <v>51</v>
      </c>
      <c r="B29" s="94">
        <v>0.125</v>
      </c>
      <c r="C29">
        <v>19</v>
      </c>
      <c r="D29" s="92">
        <v>5</v>
      </c>
    </row>
    <row r="30" spans="1:4" x14ac:dyDescent="0.3">
      <c r="A30" t="s">
        <v>52</v>
      </c>
      <c r="B30" s="94">
        <v>0.125</v>
      </c>
      <c r="C30">
        <v>19</v>
      </c>
      <c r="D30" s="92">
        <v>5</v>
      </c>
    </row>
    <row r="31" spans="1:4" x14ac:dyDescent="0.3">
      <c r="A31" t="s">
        <v>53</v>
      </c>
      <c r="B31" s="94">
        <v>0.125</v>
      </c>
      <c r="C31">
        <v>19</v>
      </c>
      <c r="D31" s="92">
        <v>5</v>
      </c>
    </row>
    <row r="32" spans="1:4" x14ac:dyDescent="0.3">
      <c r="A32" t="s">
        <v>54</v>
      </c>
      <c r="B32" s="94">
        <v>0.125</v>
      </c>
      <c r="C32">
        <v>19</v>
      </c>
      <c r="D32" s="92">
        <v>5</v>
      </c>
    </row>
    <row r="33" spans="1:4" x14ac:dyDescent="0.3">
      <c r="A33" s="27" t="s">
        <v>311</v>
      </c>
      <c r="B33" s="27" t="s">
        <v>312</v>
      </c>
    </row>
    <row r="34" spans="1:4" x14ac:dyDescent="0.3">
      <c r="A34" s="27" t="s">
        <v>55</v>
      </c>
      <c r="B34" s="93">
        <v>0.1</v>
      </c>
    </row>
    <row r="35" spans="1:4" x14ac:dyDescent="0.3">
      <c r="A35" s="65" t="s">
        <v>30</v>
      </c>
      <c r="B35" s="65" t="s">
        <v>312</v>
      </c>
      <c r="C35" s="65"/>
    </row>
    <row r="36" spans="1:4" x14ac:dyDescent="0.3">
      <c r="A36" t="s">
        <v>56</v>
      </c>
      <c r="B36" s="93">
        <v>0.1</v>
      </c>
      <c r="C36">
        <v>6</v>
      </c>
      <c r="D36" s="92">
        <v>2</v>
      </c>
    </row>
    <row r="37" spans="1:4" x14ac:dyDescent="0.3">
      <c r="A37" t="s">
        <v>57</v>
      </c>
      <c r="B37" s="93">
        <v>0.1</v>
      </c>
      <c r="C37">
        <v>6</v>
      </c>
      <c r="D37" s="92">
        <v>2</v>
      </c>
    </row>
    <row r="38" spans="1:4" x14ac:dyDescent="0.3">
      <c r="A38" t="s">
        <v>58</v>
      </c>
      <c r="B38" s="93">
        <v>0.1</v>
      </c>
      <c r="C38">
        <v>6</v>
      </c>
      <c r="D38" s="92">
        <v>2</v>
      </c>
    </row>
    <row r="39" spans="1:4" x14ac:dyDescent="0.3">
      <c r="A39" t="s">
        <v>59</v>
      </c>
      <c r="B39" s="93">
        <v>0.15</v>
      </c>
      <c r="C39">
        <v>6</v>
      </c>
      <c r="D39" s="92">
        <v>2</v>
      </c>
    </row>
    <row r="40" spans="1:4" x14ac:dyDescent="0.3">
      <c r="A40" t="s">
        <v>313</v>
      </c>
      <c r="B40" s="93">
        <v>0.1</v>
      </c>
      <c r="C40" s="64" t="s">
        <v>284</v>
      </c>
      <c r="D40" s="92">
        <v>2</v>
      </c>
    </row>
    <row r="41" spans="1:4" x14ac:dyDescent="0.3">
      <c r="A41" t="s">
        <v>60</v>
      </c>
      <c r="B41" s="93">
        <v>0.1</v>
      </c>
      <c r="C41" s="64" t="s">
        <v>284</v>
      </c>
      <c r="D41" s="92">
        <v>2</v>
      </c>
    </row>
    <row r="42" spans="1:4" x14ac:dyDescent="0.3">
      <c r="A42" t="s">
        <v>61</v>
      </c>
      <c r="B42" s="93">
        <v>0.15</v>
      </c>
      <c r="C42" s="64" t="s">
        <v>284</v>
      </c>
      <c r="D42" s="92">
        <v>2</v>
      </c>
    </row>
    <row r="43" spans="1:4" x14ac:dyDescent="0.3">
      <c r="A43" t="s">
        <v>62</v>
      </c>
      <c r="B43" s="93">
        <v>0.1</v>
      </c>
      <c r="C43">
        <v>18</v>
      </c>
      <c r="D43" s="92">
        <v>4</v>
      </c>
    </row>
    <row r="44" spans="1:4" x14ac:dyDescent="0.3">
      <c r="A44" t="s">
        <v>63</v>
      </c>
      <c r="B44" s="93">
        <v>0.1</v>
      </c>
      <c r="C44">
        <v>18</v>
      </c>
      <c r="D44" s="92">
        <v>4</v>
      </c>
    </row>
    <row r="45" spans="1:4" x14ac:dyDescent="0.3">
      <c r="A45" s="27" t="s">
        <v>311</v>
      </c>
      <c r="B45" s="27" t="s">
        <v>312</v>
      </c>
    </row>
    <row r="46" spans="1:4" x14ac:dyDescent="0.3">
      <c r="A46" s="27" t="s">
        <v>64</v>
      </c>
      <c r="B46" s="93">
        <v>0.2</v>
      </c>
    </row>
    <row r="47" spans="1:4" x14ac:dyDescent="0.3">
      <c r="A47" s="65" t="s">
        <v>30</v>
      </c>
      <c r="B47" s="65" t="s">
        <v>312</v>
      </c>
      <c r="C47" s="66"/>
    </row>
    <row r="48" spans="1:4" x14ac:dyDescent="0.3">
      <c r="A48" t="s">
        <v>65</v>
      </c>
      <c r="B48" s="93">
        <v>0.15</v>
      </c>
      <c r="C48" s="64" t="s">
        <v>262</v>
      </c>
      <c r="D48" s="92">
        <v>4</v>
      </c>
    </row>
    <row r="49" spans="1:4" x14ac:dyDescent="0.3">
      <c r="A49" t="s">
        <v>66</v>
      </c>
      <c r="B49" s="93">
        <v>0.1</v>
      </c>
      <c r="C49" s="64" t="s">
        <v>262</v>
      </c>
      <c r="D49" s="92">
        <v>4</v>
      </c>
    </row>
    <row r="50" spans="1:4" x14ac:dyDescent="0.3">
      <c r="A50" t="s">
        <v>67</v>
      </c>
      <c r="B50" s="93">
        <v>0.1</v>
      </c>
      <c r="C50" s="64" t="s">
        <v>262</v>
      </c>
      <c r="D50" s="92">
        <v>4</v>
      </c>
    </row>
    <row r="51" spans="1:4" x14ac:dyDescent="0.3">
      <c r="A51" t="s">
        <v>68</v>
      </c>
      <c r="B51" s="93">
        <v>0.15</v>
      </c>
      <c r="C51" s="64" t="s">
        <v>262</v>
      </c>
      <c r="D51" s="92">
        <v>4</v>
      </c>
    </row>
    <row r="52" spans="1:4" x14ac:dyDescent="0.3">
      <c r="A52" t="s">
        <v>69</v>
      </c>
      <c r="B52" s="93">
        <v>0.1</v>
      </c>
      <c r="C52">
        <v>13</v>
      </c>
      <c r="D52" s="92">
        <v>3</v>
      </c>
    </row>
    <row r="53" spans="1:4" x14ac:dyDescent="0.3">
      <c r="A53" t="s">
        <v>70</v>
      </c>
      <c r="B53" s="93">
        <v>0.15</v>
      </c>
      <c r="C53">
        <v>13</v>
      </c>
      <c r="D53" s="92">
        <v>3</v>
      </c>
    </row>
    <row r="54" spans="1:4" x14ac:dyDescent="0.3">
      <c r="A54" t="s">
        <v>71</v>
      </c>
      <c r="B54" s="93">
        <v>0.15</v>
      </c>
      <c r="C54">
        <v>13</v>
      </c>
      <c r="D54" s="92">
        <v>3</v>
      </c>
    </row>
    <row r="55" spans="1:4" x14ac:dyDescent="0.3">
      <c r="A55" t="s">
        <v>72</v>
      </c>
      <c r="B55" s="93">
        <v>0.1</v>
      </c>
      <c r="C55">
        <v>20</v>
      </c>
      <c r="D55" s="92">
        <v>5</v>
      </c>
    </row>
    <row r="56" spans="1:4" x14ac:dyDescent="0.3">
      <c r="A56" s="27" t="s">
        <v>311</v>
      </c>
      <c r="B56" s="27" t="s">
        <v>312</v>
      </c>
    </row>
    <row r="57" spans="1:4" x14ac:dyDescent="0.3">
      <c r="A57" s="27" t="s">
        <v>73</v>
      </c>
      <c r="B57" s="93">
        <v>0.05</v>
      </c>
    </row>
    <row r="58" spans="1:4" x14ac:dyDescent="0.3">
      <c r="A58" s="65" t="s">
        <v>30</v>
      </c>
      <c r="B58" s="65" t="s">
        <v>312</v>
      </c>
      <c r="C58" s="65"/>
    </row>
    <row r="59" spans="1:4" x14ac:dyDescent="0.3">
      <c r="A59" t="s">
        <v>74</v>
      </c>
      <c r="B59" s="93">
        <v>0.15</v>
      </c>
      <c r="C59" s="64" t="s">
        <v>262</v>
      </c>
      <c r="D59" s="92">
        <v>4</v>
      </c>
    </row>
    <row r="60" spans="1:4" x14ac:dyDescent="0.3">
      <c r="A60" t="s">
        <v>75</v>
      </c>
      <c r="B60" s="93">
        <v>0.15</v>
      </c>
      <c r="C60" s="64" t="s">
        <v>262</v>
      </c>
      <c r="D60" s="92">
        <v>4</v>
      </c>
    </row>
    <row r="61" spans="1:4" x14ac:dyDescent="0.3">
      <c r="A61" t="s">
        <v>76</v>
      </c>
      <c r="B61" s="93">
        <v>0.1</v>
      </c>
      <c r="C61" s="64" t="s">
        <v>262</v>
      </c>
      <c r="D61" s="92">
        <v>4</v>
      </c>
    </row>
    <row r="62" spans="1:4" x14ac:dyDescent="0.3">
      <c r="A62" t="s">
        <v>77</v>
      </c>
      <c r="B62" s="93">
        <v>0.15</v>
      </c>
      <c r="C62" s="64" t="s">
        <v>262</v>
      </c>
      <c r="D62" s="92">
        <v>4</v>
      </c>
    </row>
    <row r="63" spans="1:4" x14ac:dyDescent="0.3">
      <c r="A63" t="s">
        <v>78</v>
      </c>
      <c r="B63" s="93">
        <v>0.1</v>
      </c>
      <c r="C63">
        <v>17</v>
      </c>
      <c r="D63" s="92">
        <v>4</v>
      </c>
    </row>
    <row r="64" spans="1:4" x14ac:dyDescent="0.3">
      <c r="A64" t="s">
        <v>79</v>
      </c>
      <c r="B64" s="93">
        <v>0.1</v>
      </c>
      <c r="C64">
        <v>17</v>
      </c>
      <c r="D64" s="92">
        <v>4</v>
      </c>
    </row>
    <row r="65" spans="1:4" x14ac:dyDescent="0.3">
      <c r="A65" t="s">
        <v>80</v>
      </c>
      <c r="B65" s="93">
        <v>0.15</v>
      </c>
      <c r="C65">
        <v>17</v>
      </c>
      <c r="D65" s="92">
        <v>4</v>
      </c>
    </row>
    <row r="66" spans="1:4" x14ac:dyDescent="0.3">
      <c r="A66" t="s">
        <v>81</v>
      </c>
      <c r="B66" s="93">
        <v>0.1</v>
      </c>
      <c r="C66" s="64" t="s">
        <v>285</v>
      </c>
      <c r="D66" s="64" t="s">
        <v>310</v>
      </c>
    </row>
    <row r="67" spans="1:4" x14ac:dyDescent="0.3">
      <c r="A67" s="27" t="s">
        <v>311</v>
      </c>
      <c r="B67" s="27" t="s">
        <v>312</v>
      </c>
    </row>
    <row r="68" spans="1:4" x14ac:dyDescent="0.3">
      <c r="A68" s="27" t="s">
        <v>82</v>
      </c>
      <c r="B68" s="93">
        <v>0.2</v>
      </c>
    </row>
    <row r="69" spans="1:4" x14ac:dyDescent="0.3">
      <c r="A69" s="65" t="s">
        <v>30</v>
      </c>
      <c r="B69" s="65" t="s">
        <v>312</v>
      </c>
      <c r="C69" s="65"/>
    </row>
    <row r="70" spans="1:4" x14ac:dyDescent="0.3">
      <c r="A70" t="s">
        <v>83</v>
      </c>
      <c r="B70" s="93">
        <v>0.15</v>
      </c>
      <c r="C70" s="64" t="s">
        <v>264</v>
      </c>
      <c r="D70" s="64" t="s">
        <v>309</v>
      </c>
    </row>
    <row r="71" spans="1:4" x14ac:dyDescent="0.3">
      <c r="A71" t="s">
        <v>84</v>
      </c>
      <c r="B71" s="93">
        <v>0.1</v>
      </c>
      <c r="C71" s="64" t="s">
        <v>264</v>
      </c>
      <c r="D71" s="64" t="s">
        <v>309</v>
      </c>
    </row>
    <row r="72" spans="1:4" x14ac:dyDescent="0.3">
      <c r="A72" t="s">
        <v>85</v>
      </c>
      <c r="B72" s="93">
        <v>0.1</v>
      </c>
      <c r="C72" s="64" t="s">
        <v>264</v>
      </c>
      <c r="D72" s="64" t="s">
        <v>309</v>
      </c>
    </row>
    <row r="73" spans="1:4" x14ac:dyDescent="0.3">
      <c r="A73" t="s">
        <v>86</v>
      </c>
      <c r="B73" s="93">
        <v>0.15</v>
      </c>
      <c r="C73" s="64" t="s">
        <v>264</v>
      </c>
      <c r="D73" s="64" t="s">
        <v>309</v>
      </c>
    </row>
    <row r="74" spans="1:4" x14ac:dyDescent="0.3">
      <c r="A74" t="s">
        <v>87</v>
      </c>
      <c r="B74" s="93">
        <v>0.1</v>
      </c>
      <c r="C74" s="64" t="s">
        <v>261</v>
      </c>
      <c r="D74" s="92">
        <v>2</v>
      </c>
    </row>
    <row r="75" spans="1:4" x14ac:dyDescent="0.3">
      <c r="A75" t="s">
        <v>88</v>
      </c>
      <c r="B75" s="93">
        <v>0.1</v>
      </c>
      <c r="C75" s="64" t="s">
        <v>261</v>
      </c>
      <c r="D75" s="92">
        <v>2</v>
      </c>
    </row>
    <row r="76" spans="1:4" x14ac:dyDescent="0.3">
      <c r="A76" t="s">
        <v>89</v>
      </c>
      <c r="B76" s="93">
        <v>0.1</v>
      </c>
      <c r="C76" s="64" t="s">
        <v>261</v>
      </c>
      <c r="D76" s="92">
        <v>2</v>
      </c>
    </row>
    <row r="77" spans="1:4" x14ac:dyDescent="0.3">
      <c r="A77" t="s">
        <v>90</v>
      </c>
      <c r="B77" s="93">
        <v>0.1</v>
      </c>
      <c r="C77" s="64" t="s">
        <v>261</v>
      </c>
      <c r="D77" s="92">
        <v>2</v>
      </c>
    </row>
    <row r="78" spans="1:4" x14ac:dyDescent="0.3">
      <c r="A78" t="s">
        <v>91</v>
      </c>
      <c r="B78" s="93">
        <v>0.1</v>
      </c>
      <c r="C78" s="64" t="s">
        <v>261</v>
      </c>
      <c r="D78" s="92">
        <v>2</v>
      </c>
    </row>
  </sheetData>
  <autoFilter ref="A1:D1" xr:uid="{119EBE38-5895-474D-B0D5-287CF94DD7E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8494-76FA-491A-9B6C-1286B73B3DE5}">
  <dimension ref="A1:A83"/>
  <sheetViews>
    <sheetView workbookViewId="0"/>
  </sheetViews>
  <sheetFormatPr defaultColWidth="11.44140625" defaultRowHeight="14.4" x14ac:dyDescent="0.3"/>
  <cols>
    <col min="1" max="1" width="93.6640625" customWidth="1"/>
  </cols>
  <sheetData>
    <row r="1" spans="1:1" x14ac:dyDescent="0.3">
      <c r="A1" t="s">
        <v>92</v>
      </c>
    </row>
    <row r="2" spans="1:1" x14ac:dyDescent="0.3">
      <c r="A2" t="s">
        <v>93</v>
      </c>
    </row>
    <row r="3" spans="1:1" x14ac:dyDescent="0.3">
      <c r="A3" t="s">
        <v>94</v>
      </c>
    </row>
    <row r="4" spans="1:1" x14ac:dyDescent="0.3">
      <c r="A4" t="s">
        <v>95</v>
      </c>
    </row>
    <row r="5" spans="1:1" x14ac:dyDescent="0.3">
      <c r="A5" t="s">
        <v>96</v>
      </c>
    </row>
    <row r="6" spans="1:1" x14ac:dyDescent="0.3">
      <c r="A6" t="s">
        <v>97</v>
      </c>
    </row>
    <row r="7" spans="1:1" x14ac:dyDescent="0.3">
      <c r="A7" t="s">
        <v>98</v>
      </c>
    </row>
    <row r="8" spans="1:1" x14ac:dyDescent="0.3">
      <c r="A8" t="s">
        <v>99</v>
      </c>
    </row>
    <row r="9" spans="1:1" x14ac:dyDescent="0.3">
      <c r="A9" t="s">
        <v>100</v>
      </c>
    </row>
    <row r="10" spans="1:1" x14ac:dyDescent="0.3">
      <c r="A10" t="s">
        <v>101</v>
      </c>
    </row>
    <row r="11" spans="1:1" x14ac:dyDescent="0.3">
      <c r="A11" t="s">
        <v>102</v>
      </c>
    </row>
    <row r="12" spans="1:1" x14ac:dyDescent="0.3">
      <c r="A12" t="s">
        <v>103</v>
      </c>
    </row>
    <row r="13" spans="1:1" x14ac:dyDescent="0.3">
      <c r="A13" t="s">
        <v>104</v>
      </c>
    </row>
    <row r="14" spans="1:1" x14ac:dyDescent="0.3">
      <c r="A14" t="s">
        <v>105</v>
      </c>
    </row>
    <row r="15" spans="1:1" x14ac:dyDescent="0.3">
      <c r="A15" t="s">
        <v>106</v>
      </c>
    </row>
    <row r="16" spans="1:1" x14ac:dyDescent="0.3">
      <c r="A16" t="s">
        <v>241</v>
      </c>
    </row>
    <row r="17" spans="1:1" x14ac:dyDescent="0.3">
      <c r="A17" t="s">
        <v>107</v>
      </c>
    </row>
    <row r="18" spans="1:1" x14ac:dyDescent="0.3">
      <c r="A18" t="s">
        <v>108</v>
      </c>
    </row>
    <row r="19" spans="1:1" x14ac:dyDescent="0.3">
      <c r="A19" t="s">
        <v>109</v>
      </c>
    </row>
    <row r="20" spans="1:1" x14ac:dyDescent="0.3">
      <c r="A20" t="s">
        <v>110</v>
      </c>
    </row>
    <row r="21" spans="1:1" x14ac:dyDescent="0.3">
      <c r="A21" t="s">
        <v>111</v>
      </c>
    </row>
    <row r="22" spans="1:1" x14ac:dyDescent="0.3">
      <c r="A22" t="s">
        <v>112</v>
      </c>
    </row>
    <row r="23" spans="1:1" x14ac:dyDescent="0.3">
      <c r="A23" t="s">
        <v>113</v>
      </c>
    </row>
    <row r="24" spans="1:1" x14ac:dyDescent="0.3">
      <c r="A24" t="s">
        <v>114</v>
      </c>
    </row>
    <row r="25" spans="1:1" x14ac:dyDescent="0.3">
      <c r="A25" t="s">
        <v>115</v>
      </c>
    </row>
    <row r="26" spans="1:1" x14ac:dyDescent="0.3">
      <c r="A26" t="s">
        <v>116</v>
      </c>
    </row>
    <row r="27" spans="1:1" x14ac:dyDescent="0.3">
      <c r="A27" t="s">
        <v>117</v>
      </c>
    </row>
    <row r="28" spans="1:1" x14ac:dyDescent="0.3">
      <c r="A28" t="s">
        <v>118</v>
      </c>
    </row>
    <row r="29" spans="1:1" x14ac:dyDescent="0.3">
      <c r="A29" t="s">
        <v>119</v>
      </c>
    </row>
    <row r="30" spans="1:1" x14ac:dyDescent="0.3">
      <c r="A30" t="s">
        <v>120</v>
      </c>
    </row>
    <row r="31" spans="1:1" x14ac:dyDescent="0.3">
      <c r="A31" t="s">
        <v>121</v>
      </c>
    </row>
    <row r="32" spans="1:1" x14ac:dyDescent="0.3">
      <c r="A32" t="s">
        <v>122</v>
      </c>
    </row>
    <row r="33" spans="1:1" x14ac:dyDescent="0.3">
      <c r="A33" t="s">
        <v>123</v>
      </c>
    </row>
    <row r="34" spans="1:1" x14ac:dyDescent="0.3">
      <c r="A34" t="s">
        <v>124</v>
      </c>
    </row>
    <row r="35" spans="1:1" x14ac:dyDescent="0.3">
      <c r="A35" t="s">
        <v>125</v>
      </c>
    </row>
    <row r="36" spans="1:1" x14ac:dyDescent="0.3">
      <c r="A36" t="s">
        <v>126</v>
      </c>
    </row>
    <row r="37" spans="1:1" x14ac:dyDescent="0.3">
      <c r="A37" t="s">
        <v>127</v>
      </c>
    </row>
    <row r="38" spans="1:1" x14ac:dyDescent="0.3">
      <c r="A38" t="s">
        <v>242</v>
      </c>
    </row>
    <row r="39" spans="1:1" x14ac:dyDescent="0.3">
      <c r="A39" t="s">
        <v>128</v>
      </c>
    </row>
    <row r="40" spans="1:1" x14ac:dyDescent="0.3">
      <c r="A40" t="s">
        <v>129</v>
      </c>
    </row>
    <row r="41" spans="1:1" x14ac:dyDescent="0.3">
      <c r="A41" t="s">
        <v>130</v>
      </c>
    </row>
    <row r="42" spans="1:1" x14ac:dyDescent="0.3">
      <c r="A42" t="s">
        <v>131</v>
      </c>
    </row>
    <row r="43" spans="1:1" x14ac:dyDescent="0.3">
      <c r="A43" t="s">
        <v>132</v>
      </c>
    </row>
    <row r="44" spans="1:1" x14ac:dyDescent="0.3">
      <c r="A44" t="s">
        <v>133</v>
      </c>
    </row>
    <row r="45" spans="1:1" x14ac:dyDescent="0.3">
      <c r="A45" t="s">
        <v>134</v>
      </c>
    </row>
    <row r="46" spans="1:1" x14ac:dyDescent="0.3">
      <c r="A46" t="s">
        <v>135</v>
      </c>
    </row>
    <row r="47" spans="1:1" x14ac:dyDescent="0.3">
      <c r="A47" t="s">
        <v>136</v>
      </c>
    </row>
    <row r="48" spans="1:1" x14ac:dyDescent="0.3">
      <c r="A48" t="s">
        <v>137</v>
      </c>
    </row>
    <row r="49" spans="1:1" x14ac:dyDescent="0.3">
      <c r="A49" t="s">
        <v>138</v>
      </c>
    </row>
    <row r="50" spans="1:1" x14ac:dyDescent="0.3">
      <c r="A50" t="s">
        <v>139</v>
      </c>
    </row>
    <row r="51" spans="1:1" x14ac:dyDescent="0.3">
      <c r="A51" t="s">
        <v>140</v>
      </c>
    </row>
    <row r="52" spans="1:1" x14ac:dyDescent="0.3">
      <c r="A52" t="s">
        <v>141</v>
      </c>
    </row>
    <row r="53" spans="1:1" x14ac:dyDescent="0.3">
      <c r="A53" t="s">
        <v>142</v>
      </c>
    </row>
    <row r="54" spans="1:1" x14ac:dyDescent="0.3">
      <c r="A54" t="s">
        <v>143</v>
      </c>
    </row>
    <row r="55" spans="1:1" x14ac:dyDescent="0.3">
      <c r="A55" t="s">
        <v>144</v>
      </c>
    </row>
    <row r="56" spans="1:1" x14ac:dyDescent="0.3">
      <c r="A56" t="s">
        <v>145</v>
      </c>
    </row>
    <row r="57" spans="1:1" x14ac:dyDescent="0.3">
      <c r="A57" t="s">
        <v>146</v>
      </c>
    </row>
    <row r="58" spans="1:1" x14ac:dyDescent="0.3">
      <c r="A58" t="s">
        <v>147</v>
      </c>
    </row>
    <row r="59" spans="1:1" x14ac:dyDescent="0.3">
      <c r="A59" t="s">
        <v>148</v>
      </c>
    </row>
    <row r="60" spans="1:1" x14ac:dyDescent="0.3">
      <c r="A60" t="s">
        <v>149</v>
      </c>
    </row>
    <row r="61" spans="1:1" x14ac:dyDescent="0.3">
      <c r="A61" t="s">
        <v>150</v>
      </c>
    </row>
    <row r="62" spans="1:1" x14ac:dyDescent="0.3">
      <c r="A62" t="s">
        <v>151</v>
      </c>
    </row>
    <row r="63" spans="1:1" x14ac:dyDescent="0.3">
      <c r="A63" t="s">
        <v>152</v>
      </c>
    </row>
    <row r="64" spans="1:1" x14ac:dyDescent="0.3">
      <c r="A64" t="s">
        <v>153</v>
      </c>
    </row>
    <row r="65" spans="1:1" x14ac:dyDescent="0.3">
      <c r="A65" t="s">
        <v>154</v>
      </c>
    </row>
    <row r="66" spans="1:1" x14ac:dyDescent="0.3">
      <c r="A66" t="s">
        <v>155</v>
      </c>
    </row>
    <row r="67" spans="1:1" x14ac:dyDescent="0.3">
      <c r="A67" t="s">
        <v>156</v>
      </c>
    </row>
    <row r="68" spans="1:1" x14ac:dyDescent="0.3">
      <c r="A68" t="s">
        <v>157</v>
      </c>
    </row>
    <row r="69" spans="1:1" x14ac:dyDescent="0.3">
      <c r="A69" t="s">
        <v>158</v>
      </c>
    </row>
    <row r="70" spans="1:1" x14ac:dyDescent="0.3">
      <c r="A70" t="s">
        <v>159</v>
      </c>
    </row>
    <row r="71" spans="1:1" x14ac:dyDescent="0.3">
      <c r="A71" t="s">
        <v>160</v>
      </c>
    </row>
    <row r="72" spans="1:1" x14ac:dyDescent="0.3">
      <c r="A72" t="s">
        <v>161</v>
      </c>
    </row>
    <row r="73" spans="1:1" x14ac:dyDescent="0.3">
      <c r="A73" t="s">
        <v>162</v>
      </c>
    </row>
    <row r="74" spans="1:1" x14ac:dyDescent="0.3">
      <c r="A74" t="s">
        <v>163</v>
      </c>
    </row>
    <row r="75" spans="1:1" x14ac:dyDescent="0.3">
      <c r="A75" t="s">
        <v>164</v>
      </c>
    </row>
    <row r="76" spans="1:1" x14ac:dyDescent="0.3">
      <c r="A76" t="s">
        <v>165</v>
      </c>
    </row>
    <row r="77" spans="1:1" x14ac:dyDescent="0.3">
      <c r="A77" t="s">
        <v>166</v>
      </c>
    </row>
    <row r="78" spans="1:1" x14ac:dyDescent="0.3">
      <c r="A78" t="s">
        <v>167</v>
      </c>
    </row>
    <row r="79" spans="1:1" x14ac:dyDescent="0.3">
      <c r="A79" t="s">
        <v>168</v>
      </c>
    </row>
    <row r="80" spans="1:1" x14ac:dyDescent="0.3">
      <c r="A80" t="s">
        <v>169</v>
      </c>
    </row>
    <row r="81" spans="1:1" x14ac:dyDescent="0.3">
      <c r="A81" t="s">
        <v>170</v>
      </c>
    </row>
    <row r="82" spans="1:1" x14ac:dyDescent="0.3">
      <c r="A82" t="s">
        <v>171</v>
      </c>
    </row>
    <row r="83" spans="1:1" x14ac:dyDescent="0.3">
      <c r="A83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DDC7-645F-4B06-A2C5-266EFFB94499}">
  <dimension ref="A1:A60"/>
  <sheetViews>
    <sheetView workbookViewId="0">
      <selection activeCell="A2" sqref="A2"/>
    </sheetView>
  </sheetViews>
  <sheetFormatPr defaultColWidth="11.44140625" defaultRowHeight="14.4" x14ac:dyDescent="0.3"/>
  <cols>
    <col min="1" max="1" width="99.109375" bestFit="1" customWidth="1"/>
  </cols>
  <sheetData>
    <row r="1" spans="1:1" x14ac:dyDescent="0.3">
      <c r="A1" t="s">
        <v>173</v>
      </c>
    </row>
    <row r="2" spans="1:1" x14ac:dyDescent="0.3">
      <c r="A2" t="s">
        <v>174</v>
      </c>
    </row>
    <row r="3" spans="1:1" x14ac:dyDescent="0.3">
      <c r="A3" t="s">
        <v>175</v>
      </c>
    </row>
    <row r="4" spans="1:1" x14ac:dyDescent="0.3">
      <c r="A4" t="s">
        <v>176</v>
      </c>
    </row>
    <row r="5" spans="1:1" x14ac:dyDescent="0.3">
      <c r="A5" t="s">
        <v>177</v>
      </c>
    </row>
    <row r="6" spans="1:1" x14ac:dyDescent="0.3">
      <c r="A6" t="s">
        <v>178</v>
      </c>
    </row>
    <row r="7" spans="1:1" x14ac:dyDescent="0.3">
      <c r="A7" t="s">
        <v>179</v>
      </c>
    </row>
    <row r="8" spans="1:1" x14ac:dyDescent="0.3">
      <c r="A8" t="s">
        <v>180</v>
      </c>
    </row>
    <row r="9" spans="1:1" x14ac:dyDescent="0.3">
      <c r="A9" t="s">
        <v>181</v>
      </c>
    </row>
    <row r="10" spans="1:1" x14ac:dyDescent="0.3">
      <c r="A10" t="s">
        <v>182</v>
      </c>
    </row>
    <row r="11" spans="1:1" x14ac:dyDescent="0.3">
      <c r="A11" t="s">
        <v>183</v>
      </c>
    </row>
    <row r="12" spans="1:1" x14ac:dyDescent="0.3">
      <c r="A12" t="s">
        <v>184</v>
      </c>
    </row>
    <row r="13" spans="1:1" x14ac:dyDescent="0.3">
      <c r="A13" t="s">
        <v>185</v>
      </c>
    </row>
    <row r="14" spans="1:1" x14ac:dyDescent="0.3">
      <c r="A14" t="s">
        <v>186</v>
      </c>
    </row>
    <row r="15" spans="1:1" x14ac:dyDescent="0.3">
      <c r="A15" t="s">
        <v>187</v>
      </c>
    </row>
    <row r="16" spans="1:1" x14ac:dyDescent="0.3">
      <c r="A16" t="s">
        <v>188</v>
      </c>
    </row>
    <row r="17" spans="1:1" x14ac:dyDescent="0.3">
      <c r="A17" t="s">
        <v>189</v>
      </c>
    </row>
    <row r="18" spans="1:1" x14ac:dyDescent="0.3">
      <c r="A18" t="s">
        <v>190</v>
      </c>
    </row>
    <row r="19" spans="1:1" x14ac:dyDescent="0.3">
      <c r="A19" t="s">
        <v>191</v>
      </c>
    </row>
    <row r="20" spans="1:1" x14ac:dyDescent="0.3">
      <c r="A20" t="s">
        <v>192</v>
      </c>
    </row>
    <row r="21" spans="1:1" x14ac:dyDescent="0.3">
      <c r="A21" t="s">
        <v>193</v>
      </c>
    </row>
    <row r="22" spans="1:1" x14ac:dyDescent="0.3">
      <c r="A22" t="s">
        <v>194</v>
      </c>
    </row>
    <row r="23" spans="1:1" x14ac:dyDescent="0.3">
      <c r="A23" t="s">
        <v>195</v>
      </c>
    </row>
    <row r="24" spans="1:1" x14ac:dyDescent="0.3">
      <c r="A24" t="s">
        <v>196</v>
      </c>
    </row>
    <row r="25" spans="1:1" x14ac:dyDescent="0.3">
      <c r="A25" t="s">
        <v>197</v>
      </c>
    </row>
    <row r="26" spans="1:1" x14ac:dyDescent="0.3">
      <c r="A26" t="s">
        <v>198</v>
      </c>
    </row>
    <row r="27" spans="1:1" x14ac:dyDescent="0.3">
      <c r="A27" t="s">
        <v>199</v>
      </c>
    </row>
    <row r="28" spans="1:1" x14ac:dyDescent="0.3">
      <c r="A28" t="s">
        <v>200</v>
      </c>
    </row>
    <row r="29" spans="1:1" x14ac:dyDescent="0.3">
      <c r="A29" t="s">
        <v>201</v>
      </c>
    </row>
    <row r="30" spans="1:1" x14ac:dyDescent="0.3">
      <c r="A30" t="s">
        <v>202</v>
      </c>
    </row>
    <row r="31" spans="1:1" x14ac:dyDescent="0.3">
      <c r="A31" t="s">
        <v>203</v>
      </c>
    </row>
    <row r="32" spans="1:1" x14ac:dyDescent="0.3">
      <c r="A32" t="s">
        <v>204</v>
      </c>
    </row>
    <row r="33" spans="1:1" x14ac:dyDescent="0.3">
      <c r="A33" t="s">
        <v>205</v>
      </c>
    </row>
    <row r="34" spans="1:1" x14ac:dyDescent="0.3">
      <c r="A34" t="s">
        <v>206</v>
      </c>
    </row>
    <row r="35" spans="1:1" x14ac:dyDescent="0.3">
      <c r="A35" t="s">
        <v>207</v>
      </c>
    </row>
    <row r="36" spans="1:1" x14ac:dyDescent="0.3">
      <c r="A36" t="s">
        <v>208</v>
      </c>
    </row>
    <row r="37" spans="1:1" x14ac:dyDescent="0.3">
      <c r="A37" t="s">
        <v>209</v>
      </c>
    </row>
    <row r="38" spans="1:1" x14ac:dyDescent="0.3">
      <c r="A38" t="s">
        <v>210</v>
      </c>
    </row>
    <row r="39" spans="1:1" x14ac:dyDescent="0.3">
      <c r="A39" t="s">
        <v>211</v>
      </c>
    </row>
    <row r="40" spans="1:1" x14ac:dyDescent="0.3">
      <c r="A40" t="s">
        <v>212</v>
      </c>
    </row>
    <row r="41" spans="1:1" x14ac:dyDescent="0.3">
      <c r="A41" t="s">
        <v>213</v>
      </c>
    </row>
    <row r="42" spans="1:1" x14ac:dyDescent="0.3">
      <c r="A42" t="s">
        <v>214</v>
      </c>
    </row>
    <row r="43" spans="1:1" x14ac:dyDescent="0.3">
      <c r="A43" t="s">
        <v>215</v>
      </c>
    </row>
    <row r="44" spans="1:1" x14ac:dyDescent="0.3">
      <c r="A44" t="s">
        <v>216</v>
      </c>
    </row>
    <row r="45" spans="1:1" x14ac:dyDescent="0.3">
      <c r="A45" t="s">
        <v>217</v>
      </c>
    </row>
    <row r="46" spans="1:1" x14ac:dyDescent="0.3">
      <c r="A46" t="s">
        <v>218</v>
      </c>
    </row>
    <row r="47" spans="1:1" x14ac:dyDescent="0.3">
      <c r="A47" t="s">
        <v>219</v>
      </c>
    </row>
    <row r="48" spans="1:1" x14ac:dyDescent="0.3">
      <c r="A48" t="s">
        <v>220</v>
      </c>
    </row>
    <row r="49" spans="1:1" x14ac:dyDescent="0.3">
      <c r="A49" t="s">
        <v>221</v>
      </c>
    </row>
    <row r="50" spans="1:1" x14ac:dyDescent="0.3">
      <c r="A50" t="s">
        <v>222</v>
      </c>
    </row>
    <row r="51" spans="1:1" x14ac:dyDescent="0.3">
      <c r="A51" t="s">
        <v>223</v>
      </c>
    </row>
    <row r="52" spans="1:1" x14ac:dyDescent="0.3">
      <c r="A52" t="s">
        <v>224</v>
      </c>
    </row>
    <row r="53" spans="1:1" x14ac:dyDescent="0.3">
      <c r="A53" t="s">
        <v>225</v>
      </c>
    </row>
    <row r="54" spans="1:1" x14ac:dyDescent="0.3">
      <c r="A54" t="s">
        <v>226</v>
      </c>
    </row>
    <row r="55" spans="1:1" x14ac:dyDescent="0.3">
      <c r="A55" t="s">
        <v>227</v>
      </c>
    </row>
    <row r="56" spans="1:1" x14ac:dyDescent="0.3">
      <c r="A56" t="s">
        <v>228</v>
      </c>
    </row>
    <row r="57" spans="1:1" x14ac:dyDescent="0.3">
      <c r="A57" t="s">
        <v>229</v>
      </c>
    </row>
    <row r="58" spans="1:1" x14ac:dyDescent="0.3">
      <c r="A58" t="s">
        <v>230</v>
      </c>
    </row>
    <row r="59" spans="1:1" x14ac:dyDescent="0.3">
      <c r="A59" t="s">
        <v>231</v>
      </c>
    </row>
    <row r="60" spans="1:1" x14ac:dyDescent="0.3">
      <c r="A60" t="s">
        <v>232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a2fb8-b6b8-49e0-9782-a1be223650a2">
      <Terms xmlns="http://schemas.microsoft.com/office/infopath/2007/PartnerControls"/>
    </lcf76f155ced4ddcb4097134ff3c332f>
    <TaxCatchAll xmlns="bcf2c21e-7c8c-4aa1-a238-b3a8144444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84CF8FC968FA419D7090138A1C5306" ma:contentTypeVersion="11" ma:contentTypeDescription="Crear nuevo documento." ma:contentTypeScope="" ma:versionID="39eb63ef951cee5fc2d9dfe9464e3a65">
  <xsd:schema xmlns:xsd="http://www.w3.org/2001/XMLSchema" xmlns:xs="http://www.w3.org/2001/XMLSchema" xmlns:p="http://schemas.microsoft.com/office/2006/metadata/properties" xmlns:ns2="ed9a2fb8-b6b8-49e0-9782-a1be223650a2" xmlns:ns3="bcf2c21e-7c8c-4aa1-a238-b3a814444400" targetNamespace="http://schemas.microsoft.com/office/2006/metadata/properties" ma:root="true" ma:fieldsID="0c68340d71e68bd9d23afd1fda0793da" ns2:_="" ns3:_="">
    <xsd:import namespace="ed9a2fb8-b6b8-49e0-9782-a1be223650a2"/>
    <xsd:import namespace="bcf2c21e-7c8c-4aa1-a238-b3a814444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a2fb8-b6b8-49e0-9782-a1be22365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2575e52-3e5f-4a4c-9122-9f0195bc6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c21e-7c8c-4aa1-a238-b3a8144444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e70122-f54f-411a-8cb2-c4a02f53119f}" ma:internalName="TaxCatchAll" ma:showField="CatchAllData" ma:web="bcf2c21e-7c8c-4aa1-a238-b3a814444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C99F67-AC47-4033-9F2B-11D02956E57D}">
  <ds:schemaRefs>
    <ds:schemaRef ds:uri="http://www.w3.org/XML/1998/namespace"/>
    <ds:schemaRef ds:uri="http://purl.org/dc/terms/"/>
    <ds:schemaRef ds:uri="http://schemas.microsoft.com/office/infopath/2007/PartnerControls"/>
    <ds:schemaRef ds:uri="bcf2c21e-7c8c-4aa1-a238-b3a814444400"/>
    <ds:schemaRef ds:uri="http://purl.org/dc/elements/1.1/"/>
    <ds:schemaRef ds:uri="http://schemas.microsoft.com/office/2006/documentManagement/types"/>
    <ds:schemaRef ds:uri="ed9a2fb8-b6b8-49e0-9782-a1be223650a2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D045626-0B4E-4A51-B810-8A7D819352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4438B8-9B73-4809-8E69-3A2117F3FD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a2fb8-b6b8-49e0-9782-a1be223650a2"/>
    <ds:schemaRef ds:uri="bcf2c21e-7c8c-4aa1-a238-b3a814444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6</vt:i4>
      </vt:variant>
      <vt:variant>
        <vt:lpstr>Intervals amb nom</vt:lpstr>
      </vt:variant>
      <vt:variant>
        <vt:i4>1</vt:i4>
      </vt:variant>
    </vt:vector>
  </HeadingPairs>
  <TitlesOfParts>
    <vt:vector size="7" baseType="lpstr">
      <vt:lpstr>Calendari</vt:lpstr>
      <vt:lpstr>mes a mes</vt:lpstr>
      <vt:lpstr>Avaluació</vt:lpstr>
      <vt:lpstr>Resultats d'aprenentatge</vt:lpstr>
      <vt:lpstr>Continguts</vt:lpstr>
      <vt:lpstr>Tutorial Angular 19</vt:lpstr>
      <vt:lpstr>'mes a mes'!Àrea_d'impressió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PEIRO ARNAU, REINA DEL CARMEN</dc:creator>
  <cp:keywords/>
  <dc:description/>
  <cp:lastModifiedBy>Sofia Marti Rodriguez</cp:lastModifiedBy>
  <cp:revision/>
  <cp:lastPrinted>2026-05-28T17:10:50Z</cp:lastPrinted>
  <dcterms:created xsi:type="dcterms:W3CDTF">2025-05-11T10:27:07Z</dcterms:created>
  <dcterms:modified xsi:type="dcterms:W3CDTF">2026-05-29T18:16:27Z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0x010100E784CF8FC968FA419D7090138A1C5306</vt:lpwstr>
  </property>
  <property fmtid="{D5CDD505-2E9C-101B-9397-08002B2CF9AE}" pid="3" name="MediaServiceImageTags">
    <vt:lpwstr/>
  </property>
</Properties>
</file>